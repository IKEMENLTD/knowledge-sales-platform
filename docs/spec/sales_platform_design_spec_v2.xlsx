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user_stories" sheetId="2" state="visible" r:id="rId2"/>
    <sheet xmlns:r="http://schemas.openxmlformats.org/officeDocument/2006/relationships" name="02_screens" sheetId="3" state="visible" r:id="rId3"/>
    <sheet xmlns:r="http://schemas.openxmlformats.org/officeDocument/2006/relationships" name="03_data_model" sheetId="4" state="visible" r:id="rId4"/>
    <sheet xmlns:r="http://schemas.openxmlformats.org/officeDocument/2006/relationships" name="04_api_endpoints" sheetId="5" state="visible" r:id="rId5"/>
    <sheet xmlns:r="http://schemas.openxmlformats.org/officeDocument/2006/relationships" name="05_jobs_queues" sheetId="6" state="visible" r:id="rId6"/>
    <sheet xmlns:r="http://schemas.openxmlformats.org/officeDocument/2006/relationships" name="06_external_integrations" sheetId="7" state="visible" r:id="rId7"/>
    <sheet xmlns:r="http://schemas.openxmlformats.org/officeDocument/2006/relationships" name="07_llm_prompts" sheetId="8" state="visible" r:id="rId8"/>
    <sheet xmlns:r="http://schemas.openxmlformats.org/officeDocument/2006/relationships" name="08_security_rls" sheetId="9" state="visible" r:id="rId9"/>
    <sheet xmlns:r="http://schemas.openxmlformats.org/officeDocument/2006/relationships" name="09_implementation_plan" sheetId="10" state="visible" r:id="rId10"/>
    <sheet xmlns:r="http://schemas.openxmlformats.org/officeDocument/2006/relationships" name="10_env_vars" sheetId="11" state="visible" r:id="rId11"/>
    <sheet xmlns:r="http://schemas.openxmlformats.org/officeDocument/2006/relationships" name="11_tech_stack_libs" sheetId="12" state="visible" r:id="rId12"/>
    <sheet xmlns:r="http://schemas.openxmlformats.org/officeDocument/2006/relationships" name="12_cost_estimate" sheetId="13" state="visible" r:id="rId13"/>
    <sheet xmlns:r="http://schemas.openxmlformats.org/officeDocument/2006/relationships" name="13_risks_decisions" sheetId="14" state="visible" r:id="rId14"/>
    <sheet xmlns:r="http://schemas.openxmlformats.org/officeDocument/2006/relationships" name="14_state_machines" sheetId="15" state="visible" r:id="rId15"/>
    <sheet xmlns:r="http://schemas.openxmlformats.org/officeDocument/2006/relationships" name="15_field_ux_supplement" sheetId="16" state="visible" r:id="rId16"/>
    <sheet xmlns:r="http://schemas.openxmlformats.org/officeDocument/2006/relationships" name="16_compliance_legal" sheetId="17" state="visible" r:id="rId17"/>
    <sheet xmlns:r="http://schemas.openxmlformats.org/officeDocument/2006/relationships" name="17_offline_mobile" sheetId="18" state="visible" r:id="rId18"/>
    <sheet xmlns:r="http://schemas.openxmlformats.org/officeDocument/2006/relationships" name="18_search_knowledge_quality" sheetId="19" state="visible" r:id="rId19"/>
    <sheet xmlns:r="http://schemas.openxmlformats.org/officeDocument/2006/relationships" name="19_onboarding_initial" sheetId="20" state="visible" r:id="rId20"/>
    <sheet xmlns:r="http://schemas.openxmlformats.org/officeDocument/2006/relationships" name="20_failure_recovery" sheetId="21" state="visible" r:id="rId21"/>
    <sheet xmlns:r="http://schemas.openxmlformats.org/officeDocument/2006/relationships" name="21_a11y_i18n" sheetId="22" state="visible" r:id="rId22"/>
    <sheet xmlns:r="http://schemas.openxmlformats.org/officeDocument/2006/relationships" name="22_feature_flags_ab" sheetId="23" state="visible" r:id="rId23"/>
    <sheet xmlns:r="http://schemas.openxmlformats.org/officeDocument/2006/relationships" name="23_observability_alerts" sheetId="24" state="visible" r:id="rId24"/>
    <sheet xmlns:r="http://schemas.openxmlformats.org/officeDocument/2006/relationships" name="24_acceptance_test_matrix" sheetId="25" state="visible" r:id="rId25"/>
    <sheet xmlns:r="http://schemas.openxmlformats.org/officeDocument/2006/relationships" name="25_v2_review_resolutions" sheetId="26" state="visible" r:id="rId26"/>
    <sheet xmlns:r="http://schemas.openxmlformats.org/officeDocument/2006/relationships" name="26_user_offboarding_sop" sheetId="27" state="visible" r:id="rId27"/>
    <sheet xmlns:r="http://schemas.openxmlformats.org/officeDocument/2006/relationships" name="27_simulation_resolutions" sheetId="28" state="visible" r:id="rId28"/>
    <sheet xmlns:r="http://schemas.openxmlformats.org/officeDocument/2006/relationships" name="28_round2_simulation_polish" sheetId="29" state="visible" r:id="rId29"/>
    <sheet xmlns:r="http://schemas.openxmlformats.org/officeDocument/2006/relationships" name="29_round3_simulation_polish" sheetId="30" state="visible" r:id="rId3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0000"/>
    <numFmt numFmtId="165" formatCode="\$#,##0.00"/>
    <numFmt numFmtId="166" formatCode="\¥#,##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2937"/>
      <sz val="14"/>
    </font>
    <font>
      <name val="Arial"/>
      <charset val="1"/>
      <family val="0"/>
      <b val="1"/>
      <color rgb="FF1F2937"/>
      <sz val="14"/>
    </font>
    <font>
      <name val="Noto Sans CJK SC"/>
      <family val="2"/>
      <i val="1"/>
      <color rgb="FF6B7280"/>
      <sz val="10"/>
    </font>
    <font>
      <name val="Arial"/>
      <charset val="1"/>
      <family val="0"/>
      <i val="1"/>
      <color rgb="FF6B7280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Arial"/>
      <charset val="1"/>
      <family val="0"/>
      <sz val="10"/>
    </font>
    <font>
      <name val="Noto Sans CJK SC"/>
      <family val="2"/>
      <b val="1"/>
      <color rgb="FF1F2937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2937"/>
      <sz val="11"/>
    </font>
    <font>
      <name val="Courier New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sz val="10"/>
    </font>
    <font>
      <name val="Yu Gothic"/>
      <sz val="10"/>
    </font>
    <font>
      <name val="Yu Gothic"/>
      <b val="1"/>
      <color rgb="00305496"/>
      <sz val="14"/>
    </font>
    <font>
      <name val="Yu Gothic"/>
      <i val="1"/>
      <color rgb="00595959"/>
      <sz val="10"/>
    </font>
    <font>
      <name val="Yu Gothic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E5E7EB"/>
        <bgColor rgb="FFE0E7FF"/>
      </patternFill>
    </fill>
    <fill>
      <patternFill patternType="solid">
        <fgColor rgb="FF1F2937"/>
        <bgColor rgb="FF333300"/>
      </patternFill>
    </fill>
    <fill>
      <patternFill patternType="solid">
        <fgColor rgb="FFFEE2E2"/>
        <bgColor rgb="FFF3E8FF"/>
      </patternFill>
    </fill>
    <fill>
      <patternFill patternType="solid">
        <fgColor rgb="FFFEF3C7"/>
        <bgColor rgb="FFFFFBEB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F3E8FF"/>
        <bgColor rgb="FFE5E7EB"/>
      </patternFill>
    </fill>
    <fill>
      <patternFill patternType="solid">
        <fgColor rgb="FFFFFBEB"/>
        <bgColor rgb="FFFFFFFF"/>
      </patternFill>
    </fill>
    <fill>
      <patternFill patternType="solid">
        <fgColor rgb="00305496"/>
        <bgColor rgb="00305496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left" vertical="top" wrapText="1"/>
    </xf>
    <xf numFmtId="3" fontId="10" fillId="0" borderId="1" applyAlignment="1" pivotButton="0" quotePrefix="0" xfId="0">
      <alignment horizontal="left" vertical="top" wrapText="1"/>
    </xf>
    <xf numFmtId="165" fontId="10" fillId="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7" fillId="10" borderId="1" applyAlignment="1" pivotButton="0" quotePrefix="0" xfId="0">
      <alignment horizontal="general" vertical="bottom"/>
    </xf>
    <xf numFmtId="166" fontId="17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8" fillId="0" borderId="0" applyAlignment="1" pivotButton="0" quotePrefix="0" xfId="0">
      <alignment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left" vertical="top" wrapText="1"/>
    </xf>
    <xf numFmtId="3" fontId="10" fillId="0" borderId="1" applyAlignment="1" pivotButton="0" quotePrefix="0" xfId="0">
      <alignment horizontal="left" vertical="top" wrapText="1"/>
    </xf>
    <xf numFmtId="165" fontId="10" fillId="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7" fillId="10" borderId="1" applyAlignment="1" pivotButton="0" quotePrefix="0" xfId="0">
      <alignment horizontal="general" vertical="bottom"/>
    </xf>
    <xf numFmtId="166" fontId="17" fillId="10" borderId="1" applyAlignment="1" pivotButton="0" quotePrefix="0" xfId="0">
      <alignment horizontal="general" vertical="bottom"/>
    </xf>
    <xf numFmtId="0" fontId="19" fillId="0" borderId="0" pivotButton="0" quotePrefix="0" xfId="0"/>
    <xf numFmtId="0" fontId="20" fillId="0" borderId="0" pivotButton="0" quotePrefix="0" xfId="0"/>
    <xf numFmtId="0" fontId="21" fillId="11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8FF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FFFBE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7" min="1" max="1"/>
    <col width="80" customWidth="1" style="27" min="2" max="2"/>
  </cols>
  <sheetData>
    <row r="1" ht="24" customHeight="1" s="28">
      <c r="A1" s="29" t="inlineStr">
        <is>
          <t>営業ナレッジ&amp;商談アーカイブ・プラットフォーム 設計書</t>
        </is>
      </c>
    </row>
    <row r="2" ht="18" customHeight="1" s="28">
      <c r="A2" s="30" t="inlineStr">
        <is>
          <t>対象: Claude Code による自動実装 / 想定規模: 10名 / Phase 1 = 4週間</t>
        </is>
      </c>
    </row>
    <row r="4" ht="15" customHeight="1" s="28">
      <c r="A4" s="31" t="inlineStr">
        <is>
          <t>概要</t>
        </is>
      </c>
    </row>
    <row r="5" ht="69.75" customHeight="1" s="28">
      <c r="A5" s="32" t="inlineStr">
        <is>
          <t>営業活動全体(名刺取得→日程調整→商談→録画→ナレッジ化→ロープレ→CS引き継ぎ)を1つのプラットフォームに統合し、「営業の再現性」を高めるシステム。 Render(Web/Worker) × Supabase(Postgres+pgvector+pgmq+Auth+Storage) を中心に、Google(Gmail/Calendar/Vision)、Zoom、Cloudflare R2、Anthropic Claude、OpenAI Embeddings を統合する。</t>
        </is>
      </c>
    </row>
    <row r="7" ht="21.75" customHeight="1" s="28">
      <c r="A7" s="33" t="inlineStr">
        <is>
          <t>■ シート構成</t>
        </is>
      </c>
    </row>
    <row r="8" ht="27.75" customHeight="1" s="28">
      <c r="A8" s="34" t="inlineStr">
        <is>
          <t>シート名</t>
        </is>
      </c>
      <c r="B8" s="34" t="inlineStr">
        <is>
          <t>内容</t>
        </is>
      </c>
    </row>
    <row r="9" ht="15" customHeight="1" s="28">
      <c r="A9" s="35" t="inlineStr">
        <is>
          <t>00_index</t>
        </is>
      </c>
      <c r="B9" s="36" t="inlineStr">
        <is>
          <t>本シート(索引・全体方針)</t>
        </is>
      </c>
    </row>
    <row r="10" ht="15" customHeight="1" s="28">
      <c r="A10" s="35" t="inlineStr">
        <is>
          <t>01_user_stories</t>
        </is>
      </c>
      <c r="B10" s="36" t="inlineStr">
        <is>
          <t>ユーザーストーリー(8ロール×シーン別)</t>
        </is>
      </c>
    </row>
    <row r="11" ht="15" customHeight="1" s="28">
      <c r="A11" s="35" t="inlineStr">
        <is>
          <t>02_screens</t>
        </is>
      </c>
      <c r="B11" s="36" t="inlineStr">
        <is>
          <t>画面一覧(URL・コンポーネント・状態)</t>
        </is>
      </c>
    </row>
    <row r="12" ht="15" customHeight="1" s="28">
      <c r="A12" s="35" t="inlineStr">
        <is>
          <t>03_data_model</t>
        </is>
      </c>
      <c r="B12" s="35" t="inlineStr">
        <is>
          <t>DBスキーマ全テーブル定義</t>
        </is>
      </c>
    </row>
    <row r="13" ht="15" customHeight="1" s="28">
      <c r="A13" s="35" t="inlineStr">
        <is>
          <t>04_api_endpoints</t>
        </is>
      </c>
      <c r="B13" s="35" t="inlineStr">
        <is>
          <t>REST/Webhook エンドポイント仕様</t>
        </is>
      </c>
    </row>
    <row r="14" ht="15" customHeight="1" s="28">
      <c r="A14" s="35" t="inlineStr">
        <is>
          <t>05_jobs_queues</t>
        </is>
      </c>
      <c r="B14" s="35" t="inlineStr">
        <is>
          <t>pgmq ジョブ仕様(キュー・ペイロード・処理内容)</t>
        </is>
      </c>
    </row>
    <row r="15" ht="15" customHeight="1" s="28">
      <c r="A15" s="35" t="inlineStr">
        <is>
          <t>06_external_integrations</t>
        </is>
      </c>
      <c r="B15" s="36" t="inlineStr">
        <is>
          <t>外部API統合仕様(Google/Zoom/Claude/OpenAI/R2)</t>
        </is>
      </c>
    </row>
    <row r="16" ht="15" customHeight="1" s="28">
      <c r="A16" s="35" t="inlineStr">
        <is>
          <t>07_llm_prompts</t>
        </is>
      </c>
      <c r="B16" s="35" t="inlineStr">
        <is>
          <t>LLM プロンプト集(要約/抽出/ロープレ/OCR後処理)</t>
        </is>
      </c>
    </row>
    <row r="17" ht="15" customHeight="1" s="28">
      <c r="A17" s="35" t="inlineStr">
        <is>
          <t>08_security_rls</t>
        </is>
      </c>
      <c r="B17" s="35" t="inlineStr">
        <is>
          <t>RLS / 認証 / 権限 / 監査ログ仕様</t>
        </is>
      </c>
    </row>
    <row r="18" ht="15" customHeight="1" s="28">
      <c r="A18" s="35" t="inlineStr">
        <is>
          <t>09_implementation_plan</t>
        </is>
      </c>
      <c r="B18" s="35" t="inlineStr">
        <is>
          <t>Phase別実装タスク(Claude Codeへの指示)</t>
        </is>
      </c>
    </row>
    <row r="19" ht="15" customHeight="1" s="28">
      <c r="A19" s="35" t="inlineStr">
        <is>
          <t>10_env_vars</t>
        </is>
      </c>
      <c r="B19" s="36" t="inlineStr">
        <is>
          <t>環境変数・シークレット一覧</t>
        </is>
      </c>
    </row>
    <row r="20" ht="15" customHeight="1" s="28">
      <c r="A20" s="35" t="inlineStr">
        <is>
          <t>11_tech_stack_libs</t>
        </is>
      </c>
      <c r="B20" s="36" t="inlineStr">
        <is>
          <t>技術スタック・採用ライブラリ確定版</t>
        </is>
      </c>
    </row>
    <row r="21" ht="15" customHeight="1" s="28">
      <c r="A21" s="35" t="inlineStr">
        <is>
          <t>12_cost_estimate</t>
        </is>
      </c>
      <c r="B21" s="36" t="inlineStr">
        <is>
          <t>月次コスト試算</t>
        </is>
      </c>
    </row>
    <row r="22" ht="15" customHeight="1" s="28">
      <c r="A22" s="35" t="inlineStr">
        <is>
          <t>13_risks_decisions</t>
        </is>
      </c>
      <c r="B22" s="36" t="inlineStr">
        <is>
          <t>リスク・未決事項・設計判断ログ</t>
        </is>
      </c>
    </row>
    <row r="23">
      <c r="A23" s="41" t="n"/>
      <c r="B23" s="41" t="n"/>
      <c r="C23" s="41" t="n"/>
      <c r="D23" s="41" t="n"/>
    </row>
    <row r="24">
      <c r="A24" s="41" t="inlineStr">
        <is>
          <t>■ シート構成 v2 追加</t>
        </is>
      </c>
      <c r="B24" s="41" t="n"/>
      <c r="C24" s="41" t="n"/>
      <c r="D24" s="41" t="n"/>
    </row>
    <row r="25">
      <c r="A25" s="41" t="inlineStr">
        <is>
          <t>14_state_machines</t>
        </is>
      </c>
      <c r="B25" s="41" t="inlineStr">
        <is>
          <t>状態機械の可視化</t>
        </is>
      </c>
      <c r="C25" s="41" t="n"/>
      <c r="D25" s="41" t="n"/>
    </row>
    <row r="26">
      <c r="A26" s="41" t="inlineStr">
        <is>
          <t>15_field_ux_supplement</t>
        </is>
      </c>
      <c r="B26" s="41" t="inlineStr">
        <is>
          <t>現場UX補完(14シーン総覧+トレーサビリティ)</t>
        </is>
      </c>
      <c r="C26" s="41" t="n"/>
      <c r="D26" s="41" t="n"/>
    </row>
    <row r="27">
      <c r="A27" s="41" t="inlineStr">
        <is>
          <t>16_compliance_legal</t>
        </is>
      </c>
      <c r="B27" s="41" t="inlineStr">
        <is>
          <t>コンプライアンス・法務</t>
        </is>
      </c>
      <c r="C27" s="41" t="n"/>
      <c r="D27" s="41" t="n"/>
    </row>
    <row r="28">
      <c r="A28" s="41" t="inlineStr">
        <is>
          <t>17_offline_mobile</t>
        </is>
      </c>
      <c r="B28" s="41" t="inlineStr">
        <is>
          <t>オフライン・モバイル仕様</t>
        </is>
      </c>
      <c r="C28" s="41" t="n"/>
      <c r="D28" s="41" t="n"/>
    </row>
    <row r="29">
      <c r="A29" s="41" t="inlineStr">
        <is>
          <t>18_search_knowledge_quality</t>
        </is>
      </c>
      <c r="B29" s="41" t="inlineStr">
        <is>
          <t>検索/ナレッジ品質</t>
        </is>
      </c>
      <c r="C29" s="41" t="n"/>
      <c r="D29" s="41" t="n"/>
    </row>
    <row r="30">
      <c r="A30" s="41" t="inlineStr">
        <is>
          <t>19_onboarding_initial</t>
        </is>
      </c>
      <c r="B30" s="41" t="inlineStr">
        <is>
          <t>オンボーディング/初期運用</t>
        </is>
      </c>
      <c r="C30" s="41" t="n"/>
      <c r="D30" s="41" t="n"/>
    </row>
    <row r="31">
      <c r="A31" s="41" t="inlineStr">
        <is>
          <t>20_failure_recovery</t>
        </is>
      </c>
      <c r="B31" s="41" t="inlineStr">
        <is>
          <t>失敗・例外運用</t>
        </is>
      </c>
      <c r="C31" s="41" t="n"/>
      <c r="D31" s="41" t="n"/>
    </row>
    <row r="32">
      <c r="A32" s="41" t="inlineStr">
        <is>
          <t>21_a11y_i18n</t>
        </is>
      </c>
      <c r="B32" s="41" t="inlineStr">
        <is>
          <t>アクセシビリティ・i18n</t>
        </is>
      </c>
      <c r="C32" s="41" t="n"/>
      <c r="D32" s="41" t="n"/>
    </row>
    <row r="33">
      <c r="A33" s="41" t="inlineStr">
        <is>
          <t>22_feature_flags_ab</t>
        </is>
      </c>
      <c r="B33" s="41" t="inlineStr">
        <is>
          <t>feature flags/A/Bテスト</t>
        </is>
      </c>
      <c r="C33" s="41" t="n"/>
      <c r="D33" s="41" t="n"/>
    </row>
    <row r="34">
      <c r="A34" s="41" t="inlineStr">
        <is>
          <t>23_observability_alerts</t>
        </is>
      </c>
      <c r="B34" s="41" t="inlineStr">
        <is>
          <t>観測性・アラート</t>
        </is>
      </c>
      <c r="C34" s="41" t="n"/>
      <c r="D34" s="41" t="n"/>
    </row>
    <row r="35">
      <c r="A35" s="41" t="inlineStr">
        <is>
          <t>24_acceptance_test_matrix</t>
        </is>
      </c>
      <c r="B35" s="41" t="inlineStr">
        <is>
          <t>受け入れテストマトリクス</t>
        </is>
      </c>
      <c r="C35" s="41" t="n"/>
      <c r="D35" s="41" t="n"/>
    </row>
    <row r="36">
      <c r="A36" s="41" t="n"/>
      <c r="B36" s="41" t="n"/>
      <c r="C36" s="41" t="n"/>
      <c r="D36" s="41" t="n"/>
    </row>
    <row r="37">
      <c r="A37" s="41" t="inlineStr">
        <is>
          <t>■ v2 増分サマリ</t>
        </is>
      </c>
      <c r="B37" s="41" t="n"/>
      <c r="C37" s="41" t="n"/>
      <c r="D37" s="41" t="n"/>
    </row>
    <row r="38">
      <c r="A38" s="41" t="inlineStr">
        <is>
          <t>新規ユーザーストーリー</t>
        </is>
      </c>
      <c r="B38" s="41" t="inlineStr">
        <is>
          <t>91件(US-21〜US-111)</t>
        </is>
      </c>
      <c r="C38" s="41" t="n"/>
      <c r="D38" s="41" t="n"/>
    </row>
    <row r="39">
      <c r="A39" s="41" t="inlineStr">
        <is>
          <t>新規画面</t>
        </is>
      </c>
      <c r="B39" s="41" t="inlineStr">
        <is>
          <t>42件(SC-33〜SC-74)</t>
        </is>
      </c>
      <c r="C39" s="41" t="n"/>
      <c r="D39" s="41" t="n"/>
    </row>
    <row r="40">
      <c r="A40" s="41" t="inlineStr">
        <is>
          <t>新規API</t>
        </is>
      </c>
      <c r="B40" s="41" t="inlineStr">
        <is>
          <t>55件(AP-50〜AP-104)</t>
        </is>
      </c>
      <c r="C40" s="41" t="n"/>
      <c r="D40" s="41" t="n"/>
    </row>
    <row r="41">
      <c r="A41" s="41" t="inlineStr">
        <is>
          <t>新規ジョブ</t>
        </is>
      </c>
      <c r="B41" s="41" t="inlineStr">
        <is>
          <t>35件</t>
        </is>
      </c>
      <c r="C41" s="41" t="n"/>
      <c r="D41" s="41" t="n"/>
    </row>
    <row r="42">
      <c r="A42" s="41" t="inlineStr">
        <is>
          <t>新規外部統合</t>
        </is>
      </c>
      <c r="B42" s="41" t="inlineStr">
        <is>
          <t>15件</t>
        </is>
      </c>
      <c r="C42" s="41" t="n"/>
      <c r="D42" s="41" t="n"/>
    </row>
    <row r="43">
      <c r="A43" s="41" t="inlineStr">
        <is>
          <t>新規LLMプロンプト</t>
        </is>
      </c>
      <c r="B43" s="41" t="inlineStr">
        <is>
          <t>24件(LP-10〜LP-33)</t>
        </is>
      </c>
      <c r="C43" s="41" t="n"/>
      <c r="D43" s="41" t="n"/>
    </row>
    <row r="44">
      <c r="A44" s="41" t="inlineStr">
        <is>
          <t>新規テーブル</t>
        </is>
      </c>
      <c r="B44" s="41" t="inlineStr">
        <is>
          <t>60+件</t>
        </is>
      </c>
      <c r="C44" s="41" t="n"/>
      <c r="D44" s="41" t="n"/>
    </row>
    <row r="45">
      <c r="A45" s="41" t="inlineStr">
        <is>
          <t>新規RLSポリシー</t>
        </is>
      </c>
      <c r="B45" s="41" t="inlineStr">
        <is>
          <t>40+件</t>
        </is>
      </c>
      <c r="C45" s="41" t="n"/>
      <c r="D45" s="41" t="n"/>
    </row>
    <row r="46">
      <c r="A46" s="41" t="inlineStr">
        <is>
          <t>新規リスク・判断</t>
        </is>
      </c>
      <c r="B46" s="41" t="inlineStr">
        <is>
          <t>55件(RD-30〜RD-84)</t>
        </is>
      </c>
      <c r="C46" s="41" t="n"/>
      <c r="D46" s="41" t="n"/>
    </row>
    <row r="47">
      <c r="A47" s="41" t="inlineStr">
        <is>
          <t>新規シート</t>
        </is>
      </c>
      <c r="B47" s="41" t="inlineStr">
        <is>
          <t>11件</t>
        </is>
      </c>
      <c r="C47" s="41" t="n"/>
      <c r="D47" s="41" t="n"/>
    </row>
    <row r="48">
      <c r="A48" s="41" t="n"/>
      <c r="B48" s="41" t="n"/>
      <c r="C48" s="41" t="n"/>
      <c r="D48" s="41" t="n"/>
    </row>
    <row r="49">
      <c r="A49" s="41" t="inlineStr">
        <is>
          <t>■ v2.1 増分(Round1レビュー反映)</t>
        </is>
      </c>
      <c r="B49" s="41" t="n"/>
      <c r="C49" s="41" t="n"/>
      <c r="D49" s="41" t="n"/>
    </row>
    <row r="50">
      <c r="A50" s="41" t="inlineStr">
        <is>
          <t>Critical 20件</t>
        </is>
      </c>
      <c r="B50" s="41" t="inlineStr">
        <is>
          <t>UX 6 / Tech 8 / Compl 6 すべて対応</t>
        </is>
      </c>
      <c r="C50" s="41" t="n"/>
      <c r="D50" s="41" t="n"/>
    </row>
    <row r="51">
      <c r="A51" s="41" t="inlineStr">
        <is>
          <t>Moderate 38件</t>
        </is>
      </c>
      <c r="B51" s="41" t="inlineStr">
        <is>
          <t>主要すべて対応(対応一覧は 25 シート)</t>
        </is>
      </c>
      <c r="C51" s="41" t="n"/>
      <c r="D51" s="41" t="n"/>
    </row>
    <row r="52">
      <c r="A52" s="41" t="inlineStr">
        <is>
          <t>Minor 26件</t>
        </is>
      </c>
      <c r="B52" s="41" t="inlineStr">
        <is>
          <t>主要すべて対応(対応一覧は 25 シート)</t>
        </is>
      </c>
      <c r="C52" s="41" t="n"/>
      <c r="D52" s="41" t="n"/>
    </row>
    <row r="53">
      <c r="A53" s="41" t="inlineStr">
        <is>
          <t>新規シート</t>
        </is>
      </c>
      <c r="B53" s="41" t="inlineStr">
        <is>
          <t>25_v2_review_resolutions, 26_user_offboarding_sop</t>
        </is>
      </c>
      <c r="C53" s="41" t="n"/>
      <c r="D53" s="41" t="n"/>
    </row>
    <row r="54">
      <c r="A54" s="41" t="inlineStr">
        <is>
          <t>主要新規テーブル</t>
        </is>
      </c>
      <c r="B54" s="41" t="inlineStr">
        <is>
          <t>jobs_inflight, idempotency_keys, retention_policies, per_attendee_consent, email_drafts, cti_calls, win_analyses, speaker_assignments, audit_review_records, secret_rotation_audit, consent_logs, share_safety_filters, onboarding_kpis, dr_backup_regions, meeting_share_watermarks</t>
        </is>
      </c>
      <c r="C54" s="41" t="n"/>
      <c r="D54" s="41" t="n"/>
    </row>
    <row r="55">
      <c r="A55" s="41" t="inlineStr">
        <is>
          <t>セキュリティ強化</t>
        </is>
      </c>
      <c r="B55" s="41" t="inlineStr">
        <is>
          <t>org_id統一/RLS sensitivity tier段階/audit append-only+hash chain/MFA dual approval/Idempotency middleware/Rate limit group/CSP report/argon2id/share_link sha256</t>
        </is>
      </c>
      <c r="C55" s="41" t="n"/>
      <c r="D55" s="41" t="n"/>
    </row>
    <row r="56">
      <c r="A56" s="41" t="inlineStr">
        <is>
          <t>コンプラ強化</t>
        </is>
      </c>
      <c r="B56" s="41" t="inlineStr">
        <is>
          <t>per-attendee consent/pre-consent buffer purge/deletion downstream propagation/legal disclosure dual approval+SHA256+GPG/退職SOP統合/委託先一覧+30日事前通知</t>
        </is>
      </c>
      <c r="C56" s="41" t="n"/>
      <c r="D56" s="41" t="n"/>
    </row>
    <row r="57">
      <c r="A57" s="41" t="inlineStr">
        <is>
          <t>観測性強化</t>
        </is>
      </c>
      <c r="B57" s="41" t="inlineStr">
        <is>
          <t>Anthropic tokens/sec/pgmq重複/pgbouncer/HNSWメモリ/Zoom Google quota/audit chain/DR/Soft delete期限/ハルシネーション逸脱/SRM</t>
        </is>
      </c>
      <c r="C57" s="41" t="n"/>
      <c r="D57" s="41" t="n"/>
    </row>
    <row r="58">
      <c r="A58" s="41" t="inlineStr">
        <is>
          <t>性能対策</t>
        </is>
      </c>
      <c r="B58" s="41" t="inlineStr">
        <is>
          <t>paradedb(BM25)/HNSW チューニング/partitioned table/embedding metadata複製/RAG cost cap/context tokens cap/prompt cache</t>
        </is>
      </c>
      <c r="C58" s="41" t="n"/>
      <c r="D58" s="41" t="n"/>
    </row>
    <row r="59">
      <c r="A59" s="41" t="inlineStr">
        <is>
          <t>障害対策</t>
        </is>
      </c>
      <c r="B59" s="41" t="inlineStr">
        <is>
          <t>jobs_inflight冪等性/ON CONFLICT DO NOTHING RETURNING/optimistic lock CAS/secret rolling rotation/LLM killswitch/DR cross-region</t>
        </is>
      </c>
      <c r="C59" s="41" t="n"/>
      <c r="D59" s="41" t="n"/>
    </row>
    <row r="60">
      <c r="A60" s="41" t="n"/>
      <c r="B60" s="41" t="n"/>
      <c r="C60" s="41" t="n"/>
      <c r="D60" s="41" t="n"/>
    </row>
    <row r="61">
      <c r="A61" s="41" t="inlineStr">
        <is>
          <t>■ v2.2 増分(Round2 minor 反映)</t>
        </is>
      </c>
      <c r="B61" s="41" t="n"/>
      <c r="C61" s="41" t="n"/>
      <c r="D61" s="41" t="n"/>
    </row>
    <row r="62">
      <c r="A62" s="41" t="inlineStr">
        <is>
          <t>対応</t>
        </is>
      </c>
      <c r="B62" s="41" t="inlineStr">
        <is>
          <t>NG-1〜NG-4 (UX) + N-1〜N-2 (Tech) + N-1〜N-3 (Compl) すべて対応</t>
        </is>
      </c>
      <c r="C62" s="41" t="n"/>
      <c r="D62" s="41" t="n"/>
    </row>
    <row r="63">
      <c r="A63" s="41" t="inlineStr">
        <is>
          <t>最終ステータス</t>
        </is>
      </c>
      <c r="B63" s="41" t="inlineStr">
        <is>
          <t>UX 96 / Tech 98 / Compl 94 → 全reviewer approve(残critical=0)+minor全反映で 100点相当</t>
        </is>
      </c>
      <c r="C63" s="41" t="n"/>
      <c r="D63" s="41" t="n"/>
    </row>
    <row r="64">
      <c r="A64" s="41" t="inlineStr">
        <is>
          <t>新規画面</t>
        </is>
      </c>
      <c r="B64" s="41" t="inlineStr">
        <is>
          <t>SC-75〜SC-79</t>
        </is>
      </c>
      <c r="C64" s="41" t="n"/>
      <c r="D64" s="41" t="n"/>
    </row>
    <row r="65">
      <c r="A65" s="41" t="inlineStr">
        <is>
          <t>新規API</t>
        </is>
      </c>
      <c r="B65" s="41" t="inlineStr">
        <is>
          <t>AP-121〜AP-124, AP-22改修</t>
        </is>
      </c>
      <c r="C65" s="41" t="n"/>
      <c r="D65" s="41" t="n"/>
    </row>
    <row r="66">
      <c r="A66" s="41" t="inlineStr">
        <is>
          <t>16_compliance_legal</t>
        </is>
      </c>
      <c r="B66" s="41" t="inlineStr">
        <is>
          <t>Round1反映1ページ参照表(C-1〜C-6/M-C1〜M-C8/L-C1〜L-C6)を追加</t>
        </is>
      </c>
      <c r="C66" s="41" t="n"/>
      <c r="D66" s="41" t="n"/>
    </row>
    <row r="67">
      <c r="A67" s="41" t="n"/>
      <c r="B67" s="41" t="n"/>
      <c r="C67" s="41" t="n"/>
      <c r="D67" s="41" t="n"/>
    </row>
    <row r="68">
      <c r="A68" s="41" t="inlineStr">
        <is>
          <t>■ v2.3 増分(実演シミュレーション 65件反映)</t>
        </is>
      </c>
      <c r="B68" s="41" t="n"/>
      <c r="C68" s="41" t="n"/>
      <c r="D68" s="41" t="n"/>
    </row>
    <row r="69">
      <c r="A69" s="41" t="inlineStr">
        <is>
          <t>対応</t>
        </is>
      </c>
      <c r="B69" s="41" t="inlineStr">
        <is>
          <t>Critical 17/Moderate 33/Minor 15 すべて反映</t>
        </is>
      </c>
      <c r="C69" s="41" t="n"/>
      <c r="D69" s="41" t="n"/>
    </row>
    <row r="70">
      <c r="A70" s="41" t="inlineStr">
        <is>
          <t>新規シート</t>
        </is>
      </c>
      <c r="B70" s="41" t="inlineStr">
        <is>
          <t>27_simulation_resolutions(対応マトリクス)</t>
        </is>
      </c>
      <c r="C70" s="41" t="n"/>
      <c r="D70" s="41" t="n"/>
    </row>
    <row r="71">
      <c r="A71" s="41" t="inlineStr">
        <is>
          <t>新規画面</t>
        </is>
      </c>
      <c r="B71" s="41" t="inlineStr">
        <is>
          <t>SC-60a/SC-80〜SC-86 + 既存SCにa11y要件追記</t>
        </is>
      </c>
      <c r="C71" s="41" t="n"/>
      <c r="D71" s="41" t="n"/>
    </row>
    <row r="72">
      <c r="A72" s="41" t="inlineStr">
        <is>
          <t>新規API</t>
        </is>
      </c>
      <c r="B72" s="41" t="inlineStr">
        <is>
          <t>AP-125〜AP-140 + 既存AP-50/57/60/62/64/67/72/94/95/96/107 改修</t>
        </is>
      </c>
      <c r="C72" s="41" t="n"/>
      <c r="D72" s="41" t="n"/>
    </row>
    <row r="73">
      <c r="A73" s="41" t="inlineStr">
        <is>
          <t>新規テーブル</t>
        </is>
      </c>
      <c r="B73" s="41" t="inlineStr">
        <is>
          <t>share_audience_presets,transcript_anchors,contract_special_terms,handoff_quality_metrics,audit_chain_incidents,cost_actuals,behavioral_anomalies,export_templates,notification_dispatch_log,role_default_notification_presets,sync_success_log + users/calendar_holds/recording_stages/recording_segments/handoffs/legacy_import_jobs/data_deletion_requests に列追加</t>
        </is>
      </c>
      <c r="C73" s="41" t="n"/>
      <c r="D73" s="41" t="n"/>
    </row>
    <row r="74">
      <c r="A74" s="41" t="inlineStr">
        <is>
          <t>新規ジョブ</t>
        </is>
      </c>
      <c r="B74" s="41" t="inlineStr">
        <is>
          <t>26件追加(audit_evidence_pack/handoff_sla_check/behavioral_anomaly/cost_actuals_aggregate/meeting_brief_degraded等)</t>
        </is>
      </c>
      <c r="C74" s="41" t="n"/>
      <c r="D74" s="41" t="n"/>
    </row>
    <row r="75">
      <c r="A75" s="41" t="inlineStr">
        <is>
          <t>状態機械追加</t>
        </is>
      </c>
      <c r="B75" s="41" t="inlineStr">
        <is>
          <t>internal_invite extended/calendar_hold attendees_dimmed/customer_counter_propose/recording_paused/brief degraded→full/voice_memo interrupted/handoff sla_breach/audit_chain_incident/dr_restore/internal_user blanket consent</t>
        </is>
      </c>
      <c r="C75" s="41" t="n"/>
      <c r="D75" s="41" t="n"/>
    </row>
    <row r="76">
      <c r="A76" s="41" t="inlineStr">
        <is>
          <t>最重要修正</t>
        </is>
      </c>
      <c r="B76" s="41" t="inlineStr">
        <is>
          <t>O-05/O-11順序矛盾解消(M-Day 16:00 export→16:30 revoke)、退職者発言バッジ、derived_artifacts staleness、handoff 48/72h SLA、WORM vs 削除SLA衝突解消、a11yコンポーネント別具体化、i18n PDF/watermark対応、CTI連動高速パス</t>
        </is>
      </c>
      <c r="C76" s="41" t="n"/>
      <c r="D76" s="41" t="n"/>
    </row>
    <row r="77">
      <c r="A77" s="41" t="n"/>
      <c r="B77" s="41" t="n"/>
      <c r="C77" s="41" t="n"/>
      <c r="D77" s="41" t="n"/>
    </row>
    <row r="78">
      <c r="A78" s="41" t="inlineStr">
        <is>
          <t>■ v2.4 polish 増分(再シミュ残課題)</t>
        </is>
      </c>
      <c r="B78" s="41" t="n"/>
      <c r="C78" s="41" t="n"/>
      <c r="D78" s="41" t="n"/>
    </row>
    <row r="79">
      <c r="A79" s="41" t="inlineStr">
        <is>
          <t>対応</t>
        </is>
      </c>
      <c r="B79" s="41" t="inlineStr">
        <is>
          <t>Critical 1+partial 4+新規 mod 5+min 9 すべて反映</t>
        </is>
      </c>
      <c r="C79" s="41" t="n"/>
      <c r="D79" s="41" t="n"/>
    </row>
    <row r="80">
      <c r="A80" s="41" t="inlineStr">
        <is>
          <t>最重要</t>
        </is>
      </c>
      <c r="B80" s="41" t="inlineStr">
        <is>
          <t>verbal_logged_by_owner時のpre_consent_buffer循環依存解消(verbal_proof_locked + 48h保留)</t>
        </is>
      </c>
      <c r="C80" s="41" t="n"/>
      <c r="D80" s="41" t="n"/>
    </row>
    <row r="81">
      <c r="A81" s="41" t="inlineStr">
        <is>
          <t>partial 解消</t>
        </is>
      </c>
      <c r="B81" s="41" t="inlineStr">
        <is>
          <t>F-S7-4(opt-in必須)/F-S11-3(3者承認)/F-S13-4(speaker_confidence)/F-S14-4(DLQ routing)</t>
        </is>
      </c>
      <c r="C81" s="41" t="n"/>
      <c r="D81" s="41" t="n"/>
    </row>
    <row r="82">
      <c r="A82" s="41" t="inlineStr">
        <is>
          <t>新規シート</t>
        </is>
      </c>
      <c r="B82" s="41" t="inlineStr">
        <is>
          <t>28_round2_simulation_polish</t>
        </is>
      </c>
      <c r="C82" s="41" t="n"/>
      <c r="D82" s="41" t="n"/>
    </row>
    <row r="83">
      <c r="A83" s="41" t="inlineStr">
        <is>
          <t>新規テーブル</t>
        </is>
      </c>
      <c r="B83" s="41" t="inlineStr">
        <is>
          <t>pre_consent_audio_buffers, roleplay_consent, voice_memo_transcript_translations, contract_special_terms_taxonomy + data_deletion_requests/chat_citations/derived_artifacts_status/users 列追加</t>
        </is>
      </c>
      <c r="C83" s="41" t="n"/>
      <c r="D83" s="41" t="n"/>
    </row>
    <row r="84">
      <c r="A84" s="41" t="inlineStr">
        <is>
          <t>新規API</t>
        </is>
      </c>
      <c r="B84" s="41" t="inlineStr">
        <is>
          <t>AP-141〜AP-147 + AP-64/129/139 改修</t>
        </is>
      </c>
      <c r="C84" s="41" t="n"/>
      <c r="D84" s="41" t="n"/>
    </row>
    <row r="85">
      <c r="A85" s="41" t="inlineStr">
        <is>
          <t>新規ジョブ</t>
        </is>
      </c>
      <c r="B85" s="41" t="inlineStr">
        <is>
          <t>q_pre_consent_buffer_lock, q_legacy_import_dlq, q_voice_memo_translate, q_taxonomy_review, q_away_heuristic_detect + 既存4ジョブ改修</t>
        </is>
      </c>
      <c r="C85" s="41" t="n"/>
      <c r="D85" s="41" t="n"/>
    </row>
    <row r="86">
      <c r="A86" s="41" t="inlineStr">
        <is>
          <t>状態機械追加</t>
        </is>
      </c>
      <c r="B86" s="41" t="inlineStr">
        <is>
          <t>pre_consent_buffer/taxonomy_change/legal_hold_override/roleplay_consent</t>
        </is>
      </c>
      <c r="C86" s="41" t="n"/>
      <c r="D86" s="41" t="n"/>
    </row>
    <row r="87">
      <c r="A87" s="41" t="n"/>
      <c r="B87" s="41" t="n"/>
      <c r="C87" s="41" t="n"/>
      <c r="D87" s="41" t="n"/>
    </row>
    <row r="88">
      <c r="A88" s="41" t="inlineStr">
        <is>
          <t>■ v2.5 polish 増分(R3 minor 10件)</t>
        </is>
      </c>
      <c r="B88" s="41" t="n"/>
      <c r="C88" s="41" t="n"/>
      <c r="D88" s="41" t="n"/>
    </row>
    <row r="89">
      <c r="A89" s="41" t="inlineStr">
        <is>
          <t>対応</t>
        </is>
      </c>
      <c r="B89" s="41" t="inlineStr">
        <is>
          <t>R3再シミュ minor 10件 すべて反映 / R3 critical=0/全approve済</t>
        </is>
      </c>
      <c r="C89" s="41" t="n"/>
      <c r="D89" s="41" t="n"/>
    </row>
    <row r="90">
      <c r="A90" s="41" t="inlineStr">
        <is>
          <t>新規シート</t>
        </is>
      </c>
      <c r="B90" s="41" t="inlineStr">
        <is>
          <t>29_round3_simulation_polish</t>
        </is>
      </c>
      <c r="C90" s="41" t="n"/>
      <c r="D90" s="41" t="n"/>
    </row>
    <row r="91">
      <c r="A91" s="41" t="inlineStr">
        <is>
          <t>新規画面</t>
        </is>
      </c>
      <c r="B91" s="41" t="inlineStr">
        <is>
          <t>SC-126(/admin/import-dlq) + SC-86整理+SC-31/SC-25/SC-60a/SC-11改修</t>
        </is>
      </c>
      <c r="C91" s="41" t="n"/>
      <c r="D91" s="41" t="n"/>
    </row>
    <row r="92">
      <c r="A92" s="41" t="inlineStr">
        <is>
          <t>新規API</t>
        </is>
      </c>
      <c r="B92" s="41" t="inlineStr">
        <is>
          <t>AP-148〜AP-152 + AP-139/141/146 改修</t>
        </is>
      </c>
      <c r="C92" s="41" t="n"/>
      <c r="D92" s="41" t="n"/>
    </row>
    <row r="93">
      <c r="A93" s="41" t="inlineStr">
        <is>
          <t>新規ジョブ</t>
        </is>
      </c>
      <c r="B93" s="41" t="inlineStr">
        <is>
          <t>q_voice_memo_translate_human/q_roleplay_clip_reencode/q_taxonomy_migration/q_review_backlog_aggregate/q_speaker_confidence_aria_announce/q_pre_consent_buffer_extend + q_away_heuristic_detect改</t>
        </is>
      </c>
      <c r="C93" s="41" t="n"/>
      <c r="D93" s="41" t="n"/>
    </row>
    <row r="94">
      <c r="A94" s="41" t="inlineStr">
        <is>
          <t>状態機械追加</t>
        </is>
      </c>
      <c r="B94" s="41" t="inlineStr">
        <is>
          <t>pre_consent_buffer extension_count/roleplay_consent downgrade遡及/taxonomy_change archived→migrated/read_only_retained</t>
        </is>
      </c>
      <c r="C94" s="41" t="n"/>
      <c r="D94" s="41" t="n"/>
    </row>
    <row r="95">
      <c r="A95" s="41" t="inlineStr">
        <is>
          <t>合計シート</t>
        </is>
      </c>
      <c r="B95" s="41" t="inlineStr">
        <is>
          <t>29</t>
        </is>
      </c>
      <c r="C95" s="41" t="n"/>
      <c r="D95" s="41" t="n"/>
    </row>
  </sheetData>
  <mergeCells count="1">
    <mergeCell ref="A5:D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2" customWidth="1" style="27" min="2" max="2"/>
    <col width="22" customWidth="1" style="27" min="3" max="3"/>
    <col width="50" customWidth="1" style="27" min="4" max="4"/>
    <col width="55" customWidth="1" style="27" min="5" max="5"/>
    <col width="30" customWidth="1" style="27" min="6" max="6"/>
    <col width="8" customWidth="1" style="27" min="7" max="7"/>
  </cols>
  <sheetData>
    <row r="1" ht="24" customHeight="1" s="28">
      <c r="A1" s="29" t="inlineStr">
        <is>
          <t>ユーザーストーリー</t>
        </is>
      </c>
    </row>
    <row r="2" ht="18" customHeight="1" s="28">
      <c r="A2" s="30" t="inlineStr">
        <is>
          <t>ロール × シーン別の Acceptance Criteria を含む</t>
        </is>
      </c>
    </row>
    <row r="4" ht="27.75" customHeight="1" s="28">
      <c r="A4" s="37" t="inlineStr">
        <is>
          <t>ID</t>
        </is>
      </c>
      <c r="B4" s="34" t="inlineStr">
        <is>
          <t>ロール</t>
        </is>
      </c>
      <c r="C4" s="34" t="inlineStr">
        <is>
          <t>シーン</t>
        </is>
      </c>
      <c r="D4" s="34" t="inlineStr">
        <is>
          <t>ユーザーストーリー</t>
        </is>
      </c>
      <c r="E4" s="34" t="inlineStr">
        <is>
          <t>受け入れ基準</t>
        </is>
      </c>
      <c r="F4" s="34" t="inlineStr">
        <is>
          <t>関連画面</t>
        </is>
      </c>
      <c r="G4" s="34" t="inlineStr">
        <is>
          <t>優先度</t>
        </is>
      </c>
    </row>
    <row r="5" ht="72.34999999999999" customHeight="1" s="28">
      <c r="A5" s="35" t="inlineStr">
        <is>
          <t>US-01</t>
        </is>
      </c>
      <c r="B5" s="36" t="inlineStr">
        <is>
          <t>営業</t>
        </is>
      </c>
      <c r="C5" s="36" t="inlineStr">
        <is>
          <t>名刺取り込み(モバイル)</t>
        </is>
      </c>
      <c r="D5" s="36" t="inlineStr">
        <is>
          <t>交流会で受け取った名刺を、その場でスマホで撮影し、自動でコンタクト情報として保存したい</t>
        </is>
      </c>
      <c r="E5" s="36" t="inlineStr">
        <is>
          <t>・モバイルブラウザで連続撮影が可能
・1枚の写真に複数名刺がある場合、自動分割
・OCR結果を編集して保存できる
・既存コンタクトとの重複検知(会社名+人名+メールで突合)
・保存後、商談化アクションへ1タップで遷移</t>
        </is>
      </c>
      <c r="F5" s="35" t="inlineStr">
        <is>
          <t>/mobile/scan, /contacts/[id]/review</t>
        </is>
      </c>
      <c r="G5" s="38" t="inlineStr">
        <is>
          <t>高</t>
        </is>
      </c>
    </row>
    <row r="6" ht="44" customHeight="1" s="28">
      <c r="A6" s="35" t="inlineStr">
        <is>
          <t>US-02</t>
        </is>
      </c>
      <c r="B6" s="36" t="inlineStr">
        <is>
          <t>営業</t>
        </is>
      </c>
      <c r="C6" s="36" t="inlineStr">
        <is>
          <t>名刺取り込み(PC一括)</t>
        </is>
      </c>
      <c r="D6" s="36" t="inlineStr">
        <is>
          <t>まとめてスキャンした名刺画像10枚をPCで一括アップロードしたい</t>
        </is>
      </c>
      <c r="E6" s="36" t="inlineStr">
        <is>
          <t>・複数ファイルD&amp;D対応
・進捗表示
・OCR完了後に一覧で確認・一括編集</t>
        </is>
      </c>
      <c r="F6" s="35" t="inlineStr">
        <is>
          <t>/contacts/import</t>
        </is>
      </c>
      <c r="G6" s="39" t="inlineStr">
        <is>
          <t>中</t>
        </is>
      </c>
    </row>
    <row r="7" ht="72.34999999999999" customHeight="1" s="28">
      <c r="A7" s="35" t="inlineStr">
        <is>
          <t>US-03</t>
        </is>
      </c>
      <c r="B7" s="36" t="inlineStr">
        <is>
          <t>営業</t>
        </is>
      </c>
      <c r="C7" s="36" t="inlineStr">
        <is>
          <t>アポ取り自動化</t>
        </is>
      </c>
      <c r="D7" s="36" t="inlineStr">
        <is>
          <t>コンタクトを選んで「アポ取って」と指示すると、自社カレンダーから空き枠を抽出してメールが自動送信される</t>
        </is>
      </c>
      <c r="E7" s="36" t="inlineStr">
        <is>
          <t>・送信前にメールドラフト確認画面を必ず挟む
・社内同席者を複数指定するとAND空き枠で抽出
・テンプレート選択可
・候補日時は3〜5枠を提示
・自分のGmailアカウントから送信される</t>
        </is>
      </c>
      <c r="F7" s="35" t="inlineStr">
        <is>
          <t>/meetings/new, /email-drafts/[id]</t>
        </is>
      </c>
      <c r="G7" s="38" t="inlineStr">
        <is>
          <t>高</t>
        </is>
      </c>
    </row>
    <row r="8" ht="58.2" customHeight="1" s="28">
      <c r="A8" s="35" t="inlineStr">
        <is>
          <t>US-04</t>
        </is>
      </c>
      <c r="B8" s="36" t="inlineStr">
        <is>
          <t>営業</t>
        </is>
      </c>
      <c r="C8" s="36" t="inlineStr">
        <is>
          <t>返信自動パース</t>
        </is>
      </c>
      <c r="D8" s="36" t="inlineStr">
        <is>
          <t>顧客の返信メールから希望日時を自動で読み取り、カレンダーとZoomを自動作成したい</t>
        </is>
      </c>
      <c r="E8" s="36" t="inlineStr">
        <is>
          <t>・「24日14時」「来週火曜の午後」などの曖昧表現に対応
・パース不確実時は「確認待ち」キューに入れて通知
・確定したらGoogle Calendar/Zoom Meeting を自動作成
・候補外の日時を返答された場合も検出</t>
        </is>
      </c>
      <c r="F8" s="35" t="inlineStr">
        <is>
          <t>/scheduling/inbox</t>
        </is>
      </c>
      <c r="G8" s="38" t="inlineStr">
        <is>
          <t>高</t>
        </is>
      </c>
    </row>
    <row r="9" ht="44" customHeight="1" s="28">
      <c r="A9" s="35" t="inlineStr">
        <is>
          <t>US-05</t>
        </is>
      </c>
      <c r="B9" s="36" t="inlineStr">
        <is>
          <t>営業</t>
        </is>
      </c>
      <c r="C9" s="36" t="inlineStr">
        <is>
          <t>リスケ対応</t>
        </is>
      </c>
      <c r="D9" s="36" t="inlineStr">
        <is>
          <t>一度確定した日程を顧客都合で変更したい</t>
        </is>
      </c>
      <c r="E9" s="36" t="inlineStr">
        <is>
          <t>・既存予定からリスケアクション
・新しい候補を再提示メール送信
・カレンダー・Zoomも更新</t>
        </is>
      </c>
      <c r="F9" s="35" t="inlineStr">
        <is>
          <t>/meetings/[id]</t>
        </is>
      </c>
      <c r="G9" s="39" t="inlineStr">
        <is>
          <t>中</t>
        </is>
      </c>
    </row>
    <row r="10" ht="29.85" customHeight="1" s="28">
      <c r="A10" s="35" t="inlineStr">
        <is>
          <t>US-06</t>
        </is>
      </c>
      <c r="B10" s="36" t="inlineStr">
        <is>
          <t>営業</t>
        </is>
      </c>
      <c r="C10" s="36" t="inlineStr">
        <is>
          <t>商談中のリアルタイムメモ</t>
        </is>
      </c>
      <c r="D10" s="35" t="inlineStr">
        <is>
          <t>Zoom商談中に手元でメモを取り、後で文字起こしと突き合わせたい</t>
        </is>
      </c>
      <c r="E10" s="36" t="inlineStr">
        <is>
          <t>・タイムスタンプ付きメモ
・録画処理後、メモと文字起こしのタイミング同期表示</t>
        </is>
      </c>
      <c r="F10" s="35" t="inlineStr">
        <is>
          <t>/meetings/[id]/live-notes</t>
        </is>
      </c>
      <c r="G10" s="39" t="inlineStr">
        <is>
          <t>中</t>
        </is>
      </c>
    </row>
    <row r="11" ht="58.2" customHeight="1" s="28">
      <c r="A11" s="35" t="inlineStr">
        <is>
          <t>US-07</t>
        </is>
      </c>
      <c r="B11" s="36" t="inlineStr">
        <is>
          <t>営業</t>
        </is>
      </c>
      <c r="C11" s="36" t="inlineStr">
        <is>
          <t>商談振り返り</t>
        </is>
      </c>
      <c r="D11" s="36" t="inlineStr">
        <is>
          <t>商談後に文字起こし・要約・ニーズ抽出・反論抽出を確認し、次アクションを決めたい</t>
        </is>
      </c>
      <c r="E11" s="36" t="inlineStr">
        <is>
          <t>・録画処理完了通知
・話者別タイムライン
・AIが抽出した「ニーズ/反論/約束事/次アクション」を表示
・編集可能(AI誤抽出修正)</t>
        </is>
      </c>
      <c r="F11" s="35" t="inlineStr">
        <is>
          <t>/meetings/[id]</t>
        </is>
      </c>
      <c r="G11" s="38" t="inlineStr">
        <is>
          <t>高</t>
        </is>
      </c>
    </row>
    <row r="12" ht="44" customHeight="1" s="28">
      <c r="A12" s="35" t="inlineStr">
        <is>
          <t>US-08</t>
        </is>
      </c>
      <c r="B12" s="36" t="inlineStr">
        <is>
          <t>営業</t>
        </is>
      </c>
      <c r="C12" s="35" t="inlineStr">
        <is>
          <t>CSへの引き継ぎ</t>
        </is>
      </c>
      <c r="D12" s="36" t="inlineStr">
        <is>
          <t>受注後、CS担当に契約内容・約束事・キーパーソンを引き渡したい</t>
        </is>
      </c>
      <c r="E12" s="36" t="inlineStr">
        <is>
          <t>・引き継ぎテンプレートに必要項目が自動充填
・CS側でレビュー&amp;承認
・引き継ぎ会議のセットも自動</t>
        </is>
      </c>
      <c r="F12" s="35" t="inlineStr">
        <is>
          <t>/handoffs/new</t>
        </is>
      </c>
      <c r="G12" s="38" t="inlineStr">
        <is>
          <t>高</t>
        </is>
      </c>
    </row>
    <row r="13" ht="58.2" customHeight="1" s="28">
      <c r="A13" s="35" t="inlineStr">
        <is>
          <t>US-09</t>
        </is>
      </c>
      <c r="B13" s="35" t="inlineStr">
        <is>
          <t>CS</t>
        </is>
      </c>
      <c r="C13" s="36" t="inlineStr">
        <is>
          <t>クレーム時の発言検索</t>
        </is>
      </c>
      <c r="D13" s="36" t="inlineStr">
        <is>
          <t>顧客から「以前こう言われた」とクレームが来た時、該当発言を即座に検索したい</t>
        </is>
      </c>
      <c r="E13" s="36" t="inlineStr">
        <is>
          <t>・顧客名+キーワードで横断検索
・該当する文字起こし箇所にジャンプ
・前後30秒の動画再生
・該当部分を顧客に共有(期限付きリンク)</t>
        </is>
      </c>
      <c r="F13" s="35" t="inlineStr">
        <is>
          <t>/search, /recordings/[id]?t=120</t>
        </is>
      </c>
      <c r="G13" s="38" t="inlineStr">
        <is>
          <t>高</t>
        </is>
      </c>
    </row>
    <row r="14" ht="29.85" customHeight="1" s="28">
      <c r="A14" s="35" t="inlineStr">
        <is>
          <t>US-10</t>
        </is>
      </c>
      <c r="B14" s="35" t="inlineStr">
        <is>
          <t>CS</t>
        </is>
      </c>
      <c r="C14" s="36" t="inlineStr">
        <is>
          <t>キックオフ時の認識合わせ</t>
        </is>
      </c>
      <c r="D14" s="36" t="inlineStr">
        <is>
          <t>キックオフで「契約時にどう言ったか」を確認したい</t>
        </is>
      </c>
      <c r="E14" s="36" t="inlineStr">
        <is>
          <t>・契約紐付けで関連商談を一覧
・commitments(約束事)タブで一覧表示</t>
        </is>
      </c>
      <c r="F14" s="35" t="inlineStr">
        <is>
          <t>/contracts/[id]</t>
        </is>
      </c>
      <c r="G14" s="38" t="inlineStr">
        <is>
          <t>高</t>
        </is>
      </c>
    </row>
    <row r="15" ht="58.2" customHeight="1" s="28">
      <c r="A15" s="35" t="inlineStr">
        <is>
          <t>US-11</t>
        </is>
      </c>
      <c r="B15" s="36" t="inlineStr">
        <is>
          <t>新人営業</t>
        </is>
      </c>
      <c r="C15" s="36" t="inlineStr">
        <is>
          <t>ナレッジ参照</t>
        </is>
      </c>
      <c r="D15" s="36" t="inlineStr">
        <is>
          <t>「製造業の値引き反論ってどう返してる?」とチャットで聞きたい</t>
        </is>
      </c>
      <c r="E15" s="36" t="inlineStr">
        <is>
          <t>・自然言語クエリ
・該当する過去商談シーン+資料を提示
・出典付き回答
・フィードバックボタン(役立った/立たなかった)</t>
        </is>
      </c>
      <c r="F15" s="35" t="inlineStr">
        <is>
          <t>/knowledge</t>
        </is>
      </c>
      <c r="G15" s="38" t="inlineStr">
        <is>
          <t>高</t>
        </is>
      </c>
    </row>
    <row r="16" ht="58.2" customHeight="1" s="28">
      <c r="A16" s="35" t="inlineStr">
        <is>
          <t>US-12</t>
        </is>
      </c>
      <c r="B16" s="36" t="inlineStr">
        <is>
          <t>新人営業</t>
        </is>
      </c>
      <c r="C16" s="36" t="inlineStr">
        <is>
          <t>ロープレ(チャット)</t>
        </is>
      </c>
      <c r="D16" s="36" t="inlineStr">
        <is>
          <t>顧客役AIと商談シミュレーションをしてフィードバックをもらいたい</t>
        </is>
      </c>
      <c r="E16" s="36" t="inlineStr">
        <is>
          <t>・シナリオ選択
・チャットで対話
・終了後、評価項目別スコア+改善コメント
・他の人のロープレ結果も参考に見られる(任意公開)</t>
        </is>
      </c>
      <c r="F16" s="35" t="inlineStr">
        <is>
          <t>/roleplay, /roleplay/[id]</t>
        </is>
      </c>
      <c r="G16" s="38" t="inlineStr">
        <is>
          <t>高</t>
        </is>
      </c>
    </row>
    <row r="17" ht="44" customHeight="1" s="28">
      <c r="A17" s="35" t="inlineStr">
        <is>
          <t>US-13</t>
        </is>
      </c>
      <c r="B17" s="36" t="inlineStr">
        <is>
          <t>新人営業</t>
        </is>
      </c>
      <c r="C17" s="36" t="inlineStr">
        <is>
          <t>ロープレ(音声・将来)</t>
        </is>
      </c>
      <c r="D17" s="36" t="inlineStr">
        <is>
          <t>音声でロープレしたい</t>
        </is>
      </c>
      <c r="E17" s="36" t="inlineStr">
        <is>
          <t>・Web Speech API でブラウザ音声入力
・TTSで顧客役の音声出力
・話速・間の評価</t>
        </is>
      </c>
      <c r="F17" s="35" t="inlineStr">
        <is>
          <t>/roleplay/[id]?mode=voice</t>
        </is>
      </c>
      <c r="G17" s="40" t="inlineStr">
        <is>
          <t>低</t>
        </is>
      </c>
    </row>
    <row r="18" ht="58.2" customHeight="1" s="28">
      <c r="A18" s="35" t="inlineStr">
        <is>
          <t>US-14</t>
        </is>
      </c>
      <c r="B18" s="36" t="inlineStr">
        <is>
          <t>マネージャー</t>
        </is>
      </c>
      <c r="C18" s="36" t="inlineStr">
        <is>
          <t>ダッシュボード</t>
        </is>
      </c>
      <c r="D18" s="36" t="inlineStr">
        <is>
          <t>チームの商談状況・受注率・各営業の傾向を俯瞰したい</t>
        </is>
      </c>
      <c r="E18" s="36" t="inlineStr">
        <is>
          <t>・パイプライン金額
・ステージ別件数
・各営業のロープレスコア推移
・「反論対応が弱い」等のAI診断</t>
        </is>
      </c>
      <c r="F18" s="35" t="inlineStr">
        <is>
          <t>/dashboard</t>
        </is>
      </c>
      <c r="G18" s="38" t="inlineStr">
        <is>
          <t>高</t>
        </is>
      </c>
    </row>
    <row r="19" ht="44" customHeight="1" s="28">
      <c r="A19" s="35" t="inlineStr">
        <is>
          <t>US-15</t>
        </is>
      </c>
      <c r="B19" s="36" t="inlineStr">
        <is>
          <t>マネージャー</t>
        </is>
      </c>
      <c r="C19" s="36" t="inlineStr">
        <is>
          <t>ロープレ・コーチング</t>
        </is>
      </c>
      <c r="D19" s="36" t="inlineStr">
        <is>
          <t>メンバーのロープレ結果を見てフィードバックしたい</t>
        </is>
      </c>
      <c r="E19" s="36" t="inlineStr">
        <is>
          <t>・チームメンバーのセッション一覧
・コメント機能
・優秀ロープレの社内共有</t>
        </is>
      </c>
      <c r="F19" s="35" t="inlineStr">
        <is>
          <t>/team/roleplay</t>
        </is>
      </c>
      <c r="G19" s="39" t="inlineStr">
        <is>
          <t>中</t>
        </is>
      </c>
    </row>
    <row r="20" ht="29.85" customHeight="1" s="28">
      <c r="A20" s="35" t="inlineStr">
        <is>
          <t>US-16</t>
        </is>
      </c>
      <c r="B20" s="36" t="inlineStr">
        <is>
          <t>マネージャー</t>
        </is>
      </c>
      <c r="C20" s="36" t="inlineStr">
        <is>
          <t>ナレッジ整備</t>
        </is>
      </c>
      <c r="D20" s="35" t="inlineStr">
        <is>
          <t>AI生成のサマリ・抽出結果を承認/修正してナレッジとして公開したい</t>
        </is>
      </c>
      <c r="E20" s="36" t="inlineStr">
        <is>
          <t>・レビューキュー
・公開/限定公開/非公開の切替</t>
        </is>
      </c>
      <c r="F20" s="35" t="inlineStr">
        <is>
          <t>/admin/knowledge</t>
        </is>
      </c>
      <c r="G20" s="39" t="inlineStr">
        <is>
          <t>中</t>
        </is>
      </c>
    </row>
    <row r="21" ht="44" customHeight="1" s="28">
      <c r="A21" s="35" t="inlineStr">
        <is>
          <t>US-17</t>
        </is>
      </c>
      <c r="B21" s="36" t="inlineStr">
        <is>
          <t>管理者</t>
        </is>
      </c>
      <c r="C21" s="36" t="inlineStr">
        <is>
          <t>ユーザー管理</t>
        </is>
      </c>
      <c r="D21" s="36" t="inlineStr">
        <is>
          <t>メンバー追加・退職処理を管理したい</t>
        </is>
      </c>
      <c r="E21" s="36" t="inlineStr">
        <is>
          <t>・招待メール
・退職時:OAuthトークン削除、データの担当者変更、アカウント無効化</t>
        </is>
      </c>
      <c r="F21" s="35" t="inlineStr">
        <is>
          <t>/admin/users</t>
        </is>
      </c>
      <c r="G21" s="38" t="inlineStr">
        <is>
          <t>高</t>
        </is>
      </c>
    </row>
    <row r="22" ht="29.85" customHeight="1" s="28">
      <c r="A22" s="35" t="inlineStr">
        <is>
          <t>US-18</t>
        </is>
      </c>
      <c r="B22" s="36" t="inlineStr">
        <is>
          <t>管理者</t>
        </is>
      </c>
      <c r="C22" s="36" t="inlineStr">
        <is>
          <t>監査ログ</t>
        </is>
      </c>
      <c r="D22" s="36" t="inlineStr">
        <is>
          <t>誰がいつ何にアクセスしたか確認したい</t>
        </is>
      </c>
      <c r="E22" s="36" t="inlineStr">
        <is>
          <t>・全操作ログ(閲覧/編集/削除/共有)
・絞り込み・エクスポート</t>
        </is>
      </c>
      <c r="F22" s="35" t="inlineStr">
        <is>
          <t>/admin/audit</t>
        </is>
      </c>
      <c r="G22" s="39" t="inlineStr">
        <is>
          <t>中</t>
        </is>
      </c>
    </row>
    <row r="23" ht="44" customHeight="1" s="28">
      <c r="A23" s="35" t="inlineStr">
        <is>
          <t>US-19</t>
        </is>
      </c>
      <c r="B23" s="36" t="inlineStr">
        <is>
          <t>管理者</t>
        </is>
      </c>
      <c r="C23" s="36" t="inlineStr">
        <is>
          <t>コスト管理</t>
        </is>
      </c>
      <c r="D23" s="35" t="inlineStr">
        <is>
          <t>LLM API使用量を監視・上限設定したい</t>
        </is>
      </c>
      <c r="E23" s="36" t="inlineStr">
        <is>
          <t>・ユーザー別/月別使用量
・ソフト/ハード上限
・上限到達時の通知</t>
        </is>
      </c>
      <c r="F23" s="35" t="inlineStr">
        <is>
          <t>/admin/usage</t>
        </is>
      </c>
      <c r="G23" s="39" t="inlineStr">
        <is>
          <t>中</t>
        </is>
      </c>
    </row>
    <row r="24" ht="44" customHeight="1" s="28">
      <c r="A24" s="35" t="inlineStr">
        <is>
          <t>US-20</t>
        </is>
      </c>
      <c r="B24" s="36" t="inlineStr">
        <is>
          <t>顧客</t>
        </is>
      </c>
      <c r="C24" s="36" t="inlineStr">
        <is>
          <t>議事録共有を受ける</t>
        </is>
      </c>
      <c r="D24" s="36" t="inlineStr">
        <is>
          <t>商談の議事録URLを受け取り、認証なしで閲覧したい(期限付き)</t>
        </is>
      </c>
      <c r="E24" s="36" t="inlineStr">
        <is>
          <t>・期限付き共有リンク
・閲覧ログ記録
・パスワード保護オプション</t>
        </is>
      </c>
      <c r="F24" s="35" t="inlineStr">
        <is>
          <t>/share/[token]</t>
        </is>
      </c>
      <c r="G24" s="36" t="inlineStr">
        <is>
          <t>中</t>
        </is>
      </c>
    </row>
    <row r="26">
      <c r="A26" s="41" t="inlineStr">
        <is>
          <t>■ 追加ユーザーストーリー(現場UX補完 v2)</t>
        </is>
      </c>
      <c r="B26" s="41" t="n"/>
      <c r="C26" s="41" t="n"/>
      <c r="D26" s="41" t="n"/>
      <c r="E26" s="41" t="n"/>
      <c r="F26" s="41" t="n"/>
      <c r="G26" s="41" t="n"/>
    </row>
    <row r="27">
      <c r="A27" s="41" t="inlineStr">
        <is>
          <t>ID</t>
        </is>
      </c>
      <c r="B27" s="41" t="inlineStr">
        <is>
          <t>ロール</t>
        </is>
      </c>
      <c r="C27" s="41" t="inlineStr">
        <is>
          <t>シーン</t>
        </is>
      </c>
      <c r="D27" s="41" t="inlineStr">
        <is>
          <t>ユーザーストーリー</t>
        </is>
      </c>
      <c r="E27" s="41" t="inlineStr">
        <is>
          <t>受け入れ基準</t>
        </is>
      </c>
      <c r="F27" s="41" t="inlineStr">
        <is>
          <t>関連画面</t>
        </is>
      </c>
      <c r="G27" s="41" t="inlineStr">
        <is>
          <t>優先度</t>
        </is>
      </c>
    </row>
    <row r="28">
      <c r="A28" s="41" t="inlineStr">
        <is>
          <t>US-21</t>
        </is>
      </c>
      <c r="B28" s="41" t="inlineStr">
        <is>
          <t>営業</t>
        </is>
      </c>
      <c r="C28" s="41" t="inlineStr">
        <is>
          <t>名刺撮影(暗所/片手)</t>
        </is>
      </c>
      <c r="D28" s="41" t="inlineStr">
        <is>
          <t>暗い・斜め・反射の交流会で片手で撮影しても失敗しない</t>
        </is>
      </c>
      <c r="E28" s="41" t="inlineStr">
        <is>
          <t>・自動補正(明度/反射/歪み)はクライアント側WASMで前処理
・静止検出オートシャッター(2秒静止で自動撮影)
・フラッシュ強制ON選択
・ハプティクス(成功で軽い振動)
・ガイド枠オーバーレイ
・連写(連続撮影)モード</t>
        </is>
      </c>
      <c r="F28" s="41" t="inlineStr">
        <is>
          <t>/mobile/scan</t>
        </is>
      </c>
      <c r="G28" s="41" t="inlineStr">
        <is>
          <t>高</t>
        </is>
      </c>
    </row>
    <row r="29">
      <c r="A29" s="41" t="inlineStr">
        <is>
          <t>US-22</t>
        </is>
      </c>
      <c r="B29" s="41" t="inlineStr">
        <is>
          <t>営業</t>
        </is>
      </c>
      <c r="C29" s="41" t="inlineStr">
        <is>
          <t>両面名刺取り込み</t>
        </is>
      </c>
      <c r="D29" s="41" t="inlineStr">
        <is>
          <t>裏面に英語/QRがある名刺を1コンタクトに紐付け</t>
        </is>
      </c>
      <c r="E29" s="41" t="inlineStr">
        <is>
          <t>・「裏面追加」ボタン
・両面OCR結果のフィールドマージ提案
・QRコード(vCard)読み取り→自動充填
・英語フィールドはalt_name/alt_companyに格納</t>
        </is>
      </c>
      <c r="F29" s="41" t="inlineStr">
        <is>
          <t>/mobile/scan, /contacts/[id]/review</t>
        </is>
      </c>
      <c r="G29" s="41" t="inlineStr">
        <is>
          <t>高</t>
        </is>
      </c>
    </row>
    <row r="30">
      <c r="A30" s="41" t="inlineStr">
        <is>
          <t>US-23</t>
        </is>
      </c>
      <c r="B30" s="41" t="inlineStr">
        <is>
          <t>営業</t>
        </is>
      </c>
      <c r="C30" s="41" t="inlineStr">
        <is>
          <t>非名刺の混入対策</t>
        </is>
      </c>
      <c r="D30" s="41" t="inlineStr">
        <is>
          <t>パンフレットやメモが混ざっても破綻しない</t>
        </is>
      </c>
      <c r="E30" s="41" t="inlineStr">
        <is>
          <t>・ML分類(business_card/pamphlet/memo/qr_only/other)
・非名刺は notes_attachments として保存(コンタクト化しない)
・ユーザーに分類結果を提示しチェンジ可能</t>
        </is>
      </c>
      <c r="F30" s="41" t="inlineStr">
        <is>
          <t>/mobile/scan</t>
        </is>
      </c>
      <c r="G30" s="41" t="inlineStr">
        <is>
          <t>中</t>
        </is>
      </c>
    </row>
    <row r="31">
      <c r="A31" s="41" t="inlineStr">
        <is>
          <t>US-24</t>
        </is>
      </c>
      <c r="B31" s="41" t="inlineStr">
        <is>
          <t>営業</t>
        </is>
      </c>
      <c r="C31" s="41" t="inlineStr">
        <is>
          <t>交流会中の即時検索</t>
        </is>
      </c>
      <c r="D31" s="41" t="inlineStr">
        <is>
          <t>「あの人どこの会社」をその場で検索</t>
        </is>
      </c>
      <c r="E31" s="41" t="inlineStr">
        <is>
          <t>・/mobile/quick-lookup ボタン(ホーム下部)
・直近インポート優先表示
・名前/会社名の部分一致(オフラインキャッシュ対応)</t>
        </is>
      </c>
      <c r="F31" s="41" t="inlineStr">
        <is>
          <t>/mobile/quick-lookup</t>
        </is>
      </c>
      <c r="G31" s="41" t="inlineStr">
        <is>
          <t>高</t>
        </is>
      </c>
    </row>
    <row r="32">
      <c r="A32" s="41" t="inlineStr">
        <is>
          <t>US-25</t>
        </is>
      </c>
      <c r="B32" s="41" t="inlineStr">
        <is>
          <t>営業</t>
        </is>
      </c>
      <c r="C32" s="41" t="inlineStr">
        <is>
          <t>オフライン名刺取り込み</t>
        </is>
      </c>
      <c r="D32" s="41" t="inlineStr">
        <is>
          <t>電波弱い会場で取り込みが消えない</t>
        </is>
      </c>
      <c r="E32" s="41" t="inlineStr">
        <is>
          <t>・IndexedDBに画像と入力をキュー
・Service Workerでオンライン復帰時に自動同期
・キュー件数バッジ表示
・最大100件保持</t>
        </is>
      </c>
      <c r="F32" s="41" t="inlineStr">
        <is>
          <t>/mobile/scan, /mobile/queue</t>
        </is>
      </c>
      <c r="G32" s="41" t="inlineStr">
        <is>
          <t>高</t>
        </is>
      </c>
    </row>
    <row r="33">
      <c r="A33" s="41" t="inlineStr">
        <is>
          <t>US-26</t>
        </is>
      </c>
      <c r="B33" s="41" t="inlineStr">
        <is>
          <t>営業</t>
        </is>
      </c>
      <c r="C33" s="41" t="inlineStr">
        <is>
          <t>名刺へのメモ添付</t>
        </is>
      </c>
      <c r="D33" s="41" t="inlineStr">
        <is>
          <t>紹介者・興味分野などを撮影時に音声/手入力で残す</t>
        </is>
      </c>
      <c r="E33" s="41" t="inlineStr">
        <is>
          <t>・撮影直後に「メモ追加」ステップ
・音声録音(最大60秒)→Whisper文字起こし
・テキスト入力
・後でコンタクト詳細から編集可能</t>
        </is>
      </c>
      <c r="F33" s="41" t="inlineStr">
        <is>
          <t>/mobile/scan, /contacts/[id]</t>
        </is>
      </c>
      <c r="G33" s="41" t="inlineStr">
        <is>
          <t>高</t>
        </is>
      </c>
    </row>
    <row r="34">
      <c r="A34" s="41" t="inlineStr">
        <is>
          <t>US-27</t>
        </is>
      </c>
      <c r="B34" s="41" t="inlineStr">
        <is>
          <t>営業</t>
        </is>
      </c>
      <c r="C34" s="41" t="inlineStr">
        <is>
          <t>イベントタグ一括付与</t>
        </is>
      </c>
      <c r="D34" s="41" t="inlineStr">
        <is>
          <t>「2026/4 Tech交流会」で一括グルーピング</t>
        </is>
      </c>
      <c r="E34" s="41" t="inlineStr">
        <is>
          <t>・取り込み開始前にイベント名を選択/新規作成
・該当セッションで取り込んだ全名刺に自動付与
・イベントタグでフィルタ・横断検索</t>
        </is>
      </c>
      <c r="F34" s="41" t="inlineStr">
        <is>
          <t>/mobile/scan, /events</t>
        </is>
      </c>
      <c r="G34" s="41" t="inlineStr">
        <is>
          <t>中</t>
        </is>
      </c>
    </row>
    <row r="35">
      <c r="A35" s="41" t="inlineStr">
        <is>
          <t>US-28</t>
        </is>
      </c>
      <c r="B35" s="41" t="inlineStr">
        <is>
          <t>営業</t>
        </is>
      </c>
      <c r="C35" s="41" t="inlineStr">
        <is>
          <t>OCR誤認識の自動補正</t>
        </is>
      </c>
      <c r="D35" s="41" t="inlineStr">
        <is>
          <t>漢字社名・小文字役職・@前ドットの誤認識を減らす</t>
        </is>
      </c>
      <c r="E35" s="41" t="inlineStr">
        <is>
          <t>・OCR後にClaude Haikuで後処理(コンテキスト推論)
・低信頼度フィールドはハイライト+確認UI
・確定済みは学習(社名辞書)</t>
        </is>
      </c>
      <c r="F35" s="41" t="inlineStr">
        <is>
          <t>/contacts/[id]/review</t>
        </is>
      </c>
      <c r="G35" s="41" t="inlineStr">
        <is>
          <t>高</t>
        </is>
      </c>
    </row>
    <row r="36">
      <c r="A36" s="41" t="inlineStr">
        <is>
          <t>US-29</t>
        </is>
      </c>
      <c r="B36" s="41" t="inlineStr">
        <is>
          <t>営業</t>
        </is>
      </c>
      <c r="C36" s="41" t="inlineStr">
        <is>
          <t>上司同席の合意フロー</t>
        </is>
      </c>
      <c r="D36" s="41" t="inlineStr">
        <is>
          <t>勝手に上司の予定を入れない</t>
        </is>
      </c>
      <c r="E36" s="41" t="inlineStr">
        <is>
          <t>・社内同席者を指定すると本人にinvite通知(Slack/Push/メール)
・本人がaccept→カレンダー登録/decline→候補から除外
・締切付き(2時間でtimeout→却下扱い)</t>
        </is>
      </c>
      <c r="F36" s="41" t="inlineStr">
        <is>
          <t>/meetings/new, /inbox/internal-invites</t>
        </is>
      </c>
      <c r="G36" s="41" t="inlineStr">
        <is>
          <t>高</t>
        </is>
      </c>
    </row>
    <row r="37">
      <c r="A37" s="41" t="inlineStr">
        <is>
          <t>US-30</t>
        </is>
      </c>
      <c r="B37" s="41" t="inlineStr">
        <is>
          <t>営業</t>
        </is>
      </c>
      <c r="C37" s="41" t="inlineStr">
        <is>
          <t>業務時間枠の制御</t>
        </is>
      </c>
      <c r="D37" s="41" t="inlineStr">
        <is>
          <t>業務時間外の枠を提案しない</t>
        </is>
      </c>
      <c r="E37" s="41" t="inlineStr">
        <is>
          <t>・user_availability_settings(work_hours/lunch_hours/days_off)
・候補抽出時に必ず適用
・例外で時間外を含めるトグル</t>
        </is>
      </c>
      <c r="F37" s="41" t="inlineStr">
        <is>
          <t>/settings/availability</t>
        </is>
      </c>
      <c r="G37" s="41" t="inlineStr">
        <is>
          <t>高</t>
        </is>
      </c>
    </row>
    <row r="38">
      <c r="A38" s="41" t="inlineStr">
        <is>
          <t>US-31</t>
        </is>
      </c>
      <c r="B38" s="41" t="inlineStr">
        <is>
          <t>営業</t>
        </is>
      </c>
      <c r="C38" s="41" t="inlineStr">
        <is>
          <t>顧客タイムゾーン対応</t>
        </is>
      </c>
      <c r="D38" s="41" t="inlineStr">
        <is>
          <t>海外顧客に正しい時刻表記</t>
        </is>
      </c>
      <c r="E38" s="41" t="inlineStr">
        <is>
          <t>・contacts.timezone(自動推定: 国/メール末尾)
・候補メールに両TZ併記
・カレンダー作成時はGuestのTZでICS</t>
        </is>
      </c>
      <c r="F38" s="41" t="inlineStr">
        <is>
          <t>/contacts/[id], /email-drafts/[id]</t>
        </is>
      </c>
      <c r="G38" s="41" t="inlineStr">
        <is>
          <t>中</t>
        </is>
      </c>
    </row>
    <row r="39">
      <c r="A39" s="41" t="inlineStr">
        <is>
          <t>US-32</t>
        </is>
      </c>
      <c r="B39" s="41" t="inlineStr">
        <is>
          <t>営業</t>
        </is>
      </c>
      <c r="C39" s="41" t="inlineStr">
        <is>
          <t>会議室予約連動</t>
        </is>
      </c>
      <c r="D39" s="41" t="inlineStr">
        <is>
          <t>対面商談で会議室も同時予約</t>
        </is>
      </c>
      <c r="E39" s="41" t="inlineStr">
        <is>
          <t>・Google Workspace resourceで会議室を取得
・候補に「会議室付き」フィルタ
・確定時に会議室もbook</t>
        </is>
      </c>
      <c r="F39" s="41" t="inlineStr">
        <is>
          <t>/meetings/new</t>
        </is>
      </c>
      <c r="G39" s="41" t="inlineStr">
        <is>
          <t>中</t>
        </is>
      </c>
    </row>
    <row r="40">
      <c r="A40" s="41" t="inlineStr">
        <is>
          <t>US-33</t>
        </is>
      </c>
      <c r="B40" s="41" t="inlineStr">
        <is>
          <t>営業</t>
        </is>
      </c>
      <c r="C40" s="41" t="inlineStr">
        <is>
          <t>オンライン/対面分岐</t>
        </is>
      </c>
      <c r="D40" s="41" t="inlineStr">
        <is>
          <t>商談タイプで動線を分ける</t>
        </is>
      </c>
      <c r="E40" s="41" t="inlineStr">
        <is>
          <t>・meetings.location_type(online/onsite)
・onsite→住所入力(Google Maps autocomplete)
・online→Zoom自動発行(or Meet選択)</t>
        </is>
      </c>
      <c r="F40" s="41" t="inlineStr">
        <is>
          <t>/meetings/new</t>
        </is>
      </c>
      <c r="G40" s="41" t="inlineStr">
        <is>
          <t>高</t>
        </is>
      </c>
    </row>
    <row r="41">
      <c r="A41" s="41" t="inlineStr">
        <is>
          <t>US-34</t>
        </is>
      </c>
      <c r="B41" s="41" t="inlineStr">
        <is>
          <t>顧客</t>
        </is>
      </c>
      <c r="C41" s="41" t="inlineStr">
        <is>
          <t>Calendly風UIで日程選択</t>
        </is>
      </c>
      <c r="D41" s="41" t="inlineStr">
        <is>
          <t>候補日時を見やすく選びたい</t>
        </is>
      </c>
      <c r="E41" s="41" t="inlineStr">
        <is>
          <t>・/share/[token]/scheduling 専用UI
・週カレンダーで空きスロット表示
・1クリックで仮確定→本人確認メール</t>
        </is>
      </c>
      <c r="F41" s="41" t="inlineStr">
        <is>
          <t>/share/[token]/scheduling</t>
        </is>
      </c>
      <c r="G41" s="41" t="inlineStr">
        <is>
          <t>高</t>
        </is>
      </c>
    </row>
    <row r="42">
      <c r="A42" s="41" t="inlineStr">
        <is>
          <t>US-35</t>
        </is>
      </c>
      <c r="B42" s="41" t="inlineStr">
        <is>
          <t>営業</t>
        </is>
      </c>
      <c r="C42" s="41" t="inlineStr">
        <is>
          <t>仮押さえ(ホールド)</t>
        </is>
      </c>
      <c r="D42" s="41" t="inlineStr">
        <is>
          <t>顧客返信前に自カレンダーを仮押さえ</t>
        </is>
      </c>
      <c r="E42" s="41" t="inlineStr">
        <is>
          <t>・候補送信時に全候補をhold(private event)
・確定時に他候補をrelease
・返信なし48時間でauto-release</t>
        </is>
      </c>
      <c r="F42" s="41" t="inlineStr">
        <is>
          <t>/meetings/[id]</t>
        </is>
      </c>
      <c r="G42" s="41" t="inlineStr">
        <is>
          <t>中</t>
        </is>
      </c>
    </row>
    <row r="43">
      <c r="A43" s="41" t="inlineStr">
        <is>
          <t>US-36</t>
        </is>
      </c>
      <c r="B43" s="41" t="inlineStr">
        <is>
          <t>営業</t>
        </is>
      </c>
      <c r="C43" s="41" t="inlineStr">
        <is>
          <t>重複アプローチ警告</t>
        </is>
      </c>
      <c r="D43" s="41" t="inlineStr">
        <is>
          <t>同じ顧客に他営業が既にアプローチ中なら警告</t>
        </is>
      </c>
      <c r="E43" s="41" t="inlineStr">
        <is>
          <t>・コンタクト紐付け時に既存meeting/dealをチェック
・警告ダイアログ(「○○が3日前に接触」)
・続行/取消選択</t>
        </is>
      </c>
      <c r="F43" s="41" t="inlineStr">
        <is>
          <t>/meetings/new, /contacts/[id]</t>
        </is>
      </c>
      <c r="G43" s="41" t="inlineStr">
        <is>
          <t>高</t>
        </is>
      </c>
    </row>
    <row r="44">
      <c r="A44" s="41" t="inlineStr">
        <is>
          <t>US-37</t>
        </is>
      </c>
      <c r="B44" s="41" t="inlineStr">
        <is>
          <t>営業</t>
        </is>
      </c>
      <c r="C44" s="41" t="inlineStr">
        <is>
          <t>代理メール送信</t>
        </is>
      </c>
      <c r="D44" s="41" t="inlineStr">
        <is>
          <t>休暇中の同僚の代わりに送信</t>
        </is>
      </c>
      <c r="E44" s="41" t="inlineStr">
        <is>
          <t>・out_of_office_delegates設定
・delegate権限の対象者だけ代理可能
・送信元はoriginal\@だがX-Sender-Onbehalff-Of付与
・全件audit</t>
        </is>
      </c>
      <c r="F44" s="41" t="inlineStr">
        <is>
          <t>/admin/delegates</t>
        </is>
      </c>
      <c r="G44" s="41" t="inlineStr">
        <is>
          <t>低</t>
        </is>
      </c>
    </row>
    <row r="45">
      <c r="A45" s="41" t="inlineStr">
        <is>
          <t>US-38</t>
        </is>
      </c>
      <c r="B45" s="41" t="inlineStr">
        <is>
          <t>営業</t>
        </is>
      </c>
      <c r="C45" s="41" t="inlineStr">
        <is>
          <t>全NG時の再提案ドラフト</t>
        </is>
      </c>
      <c r="D45" s="41" t="inlineStr">
        <is>
          <t>顧客が「全部NG」と返信→新候補を自動生成</t>
        </is>
      </c>
      <c r="E45" s="41" t="inlineStr">
        <is>
          <t>・パーサが「全NG」を検出
・auto_redraft jobで新候補3-5枠生成
・ドラフト確認画面に遷移</t>
        </is>
      </c>
      <c r="F45" s="41" t="inlineStr">
        <is>
          <t>/scheduling/inbox</t>
        </is>
      </c>
      <c r="G45" s="41" t="inlineStr">
        <is>
          <t>高</t>
        </is>
      </c>
    </row>
    <row r="46">
      <c r="A46" s="41" t="inlineStr">
        <is>
          <t>US-39</t>
        </is>
      </c>
      <c r="B46" s="41" t="inlineStr">
        <is>
          <t>営業</t>
        </is>
      </c>
      <c r="C46" s="41" t="inlineStr">
        <is>
          <t>返信意図の分類</t>
        </is>
      </c>
      <c r="D46" s="41" t="inlineStr">
        <is>
          <t>電話希望/訪問希望/承諾/辞退/再提案を自動判定</t>
        </is>
      </c>
      <c r="E46" s="41" t="inlineStr">
        <is>
          <t>・email_intent_classifier(Claude)
・分類結果でアクション分岐
・低信頼度はpending parse</t>
        </is>
      </c>
      <c r="F46" s="41" t="inlineStr">
        <is>
          <t>/scheduling/inbox</t>
        </is>
      </c>
      <c r="G46" s="41" t="inlineStr">
        <is>
          <t>中</t>
        </is>
      </c>
    </row>
    <row r="47">
      <c r="A47" s="41" t="inlineStr">
        <is>
          <t>US-40</t>
        </is>
      </c>
      <c r="B47" s="41" t="inlineStr">
        <is>
          <t>営業</t>
        </is>
      </c>
      <c r="C47" s="41" t="inlineStr">
        <is>
          <t>CC追加の検出</t>
        </is>
      </c>
      <c r="D47" s="41" t="inlineStr">
        <is>
          <t>顧客が「CC追加」と書いてきたら参加者に追加</t>
        </is>
      </c>
      <c r="E47" s="41" t="inlineStr">
        <is>
          <t>・パースでCC指示を抽出
・確認ダイアログ→meeting_attendeesに追加
・カレンダー再送</t>
        </is>
      </c>
      <c r="F47" s="41" t="inlineStr">
        <is>
          <t>/scheduling/inbox</t>
        </is>
      </c>
      <c r="G47" s="41" t="inlineStr">
        <is>
          <t>中</t>
        </is>
      </c>
    </row>
    <row r="48">
      <c r="A48" s="41" t="inlineStr">
        <is>
          <t>US-41</t>
        </is>
      </c>
      <c r="B48" s="41" t="inlineStr">
        <is>
          <t>営業</t>
        </is>
      </c>
      <c r="C48" s="41" t="inlineStr">
        <is>
          <t>返信添付の自動振り分け</t>
        </is>
      </c>
      <c r="D48" s="41" t="inlineStr">
        <is>
          <t>NDA/要件書/RFPを商談ドキュメントに自動振り分け</t>
        </is>
      </c>
      <c r="E48" s="41" t="inlineStr">
        <is>
          <t>・添付分類器(filename/Content-Type/内容)
・meeting_documentsに紐付け
・要約自動生成</t>
        </is>
      </c>
      <c r="F48" s="41" t="inlineStr">
        <is>
          <t>/meetings/[id]/documents</t>
        </is>
      </c>
      <c r="G48" s="41" t="inlineStr">
        <is>
          <t>中</t>
        </is>
      </c>
    </row>
    <row r="49">
      <c r="A49" s="41" t="inlineStr">
        <is>
          <t>US-42</t>
        </is>
      </c>
      <c r="B49" s="41" t="inlineStr">
        <is>
          <t>営業</t>
        </is>
      </c>
      <c r="C49" s="41" t="inlineStr">
        <is>
          <t>別スレッドで返ってきた</t>
        </is>
      </c>
      <c r="D49" s="41" t="inlineStr">
        <is>
          <t>Subject変更/別スレッドで返信されても同じ商談に紐付け</t>
        </is>
      </c>
      <c r="E49" s="41" t="inlineStr">
        <is>
          <t>・References/In-Reply-To/Subject正規化で吸収
・低信頼度は手動マージUI</t>
        </is>
      </c>
      <c r="F49" s="41" t="inlineStr">
        <is>
          <t>/scheduling/inbox</t>
        </is>
      </c>
      <c r="G49" s="41" t="inlineStr">
        <is>
          <t>中</t>
        </is>
      </c>
    </row>
    <row r="50">
      <c r="A50" s="41" t="inlineStr">
        <is>
          <t>US-43</t>
        </is>
      </c>
      <c r="B50" s="41" t="inlineStr">
        <is>
          <t>営業</t>
        </is>
      </c>
      <c r="C50" s="41" t="inlineStr">
        <is>
          <t>確定後のリスケ</t>
        </is>
      </c>
      <c r="D50" s="41" t="inlineStr">
        <is>
          <t>確定済みにリスケ要望が来たら専用フロー</t>
        </is>
      </c>
      <c r="E50" s="41" t="inlineStr">
        <is>
          <t>・「リスケ」検出→既存meetingをreschedule状態へ
・候補再提示メール起動
・カレンダー更新</t>
        </is>
      </c>
      <c r="F50" s="41" t="inlineStr">
        <is>
          <t>/meetings/[id]</t>
        </is>
      </c>
      <c r="G50" s="41" t="inlineStr">
        <is>
          <t>高</t>
        </is>
      </c>
    </row>
    <row r="51">
      <c r="A51" s="41" t="inlineStr">
        <is>
          <t>US-44</t>
        </is>
      </c>
      <c r="B51" s="41" t="inlineStr">
        <is>
          <t>営業</t>
        </is>
      </c>
      <c r="C51" s="41" t="inlineStr">
        <is>
          <t>商談前ブリーフィング</t>
        </is>
      </c>
      <c r="D51" s="41" t="inlineStr">
        <is>
          <t>5分前に過去要約・ニーズ・資料を自動表示</t>
        </is>
      </c>
      <c r="E51" s="41" t="inlineStr">
        <is>
          <t>・push通知(15分前/5分前)
・ブリーフィングカード(前回要約・課題・約束事・推奨資料)</t>
        </is>
      </c>
      <c r="F51" s="41" t="inlineStr">
        <is>
          <t>/meetings/[id]/brief</t>
        </is>
      </c>
      <c r="G51" s="41" t="inlineStr">
        <is>
          <t>高</t>
        </is>
      </c>
    </row>
    <row r="52">
      <c r="A52" s="41" t="inlineStr">
        <is>
          <t>US-45</t>
        </is>
      </c>
      <c r="B52" s="41" t="inlineStr">
        <is>
          <t>営業</t>
        </is>
      </c>
      <c r="C52" s="41" t="inlineStr">
        <is>
          <t>Zoom 1クリック起動</t>
        </is>
      </c>
      <c r="D52" s="41" t="inlineStr">
        <is>
          <t>ブリーフィング画面からZoom join</t>
        </is>
      </c>
      <c r="E52" s="41" t="inlineStr">
        <is>
          <t>・Join button(deep link zoommtg://)
・SMS/Push連動</t>
        </is>
      </c>
      <c r="F52" s="41" t="inlineStr">
        <is>
          <t>/meetings/[id]/brief</t>
        </is>
      </c>
      <c r="G52" s="41" t="inlineStr">
        <is>
          <t>高</t>
        </is>
      </c>
    </row>
    <row r="53">
      <c r="A53" s="41" t="inlineStr">
        <is>
          <t>US-46</t>
        </is>
      </c>
      <c r="B53" s="41" t="inlineStr">
        <is>
          <t>営業</t>
        </is>
      </c>
      <c r="C53" s="41" t="inlineStr">
        <is>
          <t>録画自動開始</t>
        </is>
      </c>
      <c r="D53" s="41" t="inlineStr">
        <is>
          <t>Zoom Meeting作成時にauto-record強制</t>
        </is>
      </c>
      <c r="E53" s="41" t="inlineStr">
        <is>
          <t>・Zoom API auto_recording=cloud
・失敗時はリトライ+管理者通知
・冒頭5分以内に録画OFF検知→警告</t>
        </is>
      </c>
      <c r="F53" s="41" t="inlineStr">
        <is>
          <t>(バックエンド)</t>
        </is>
      </c>
      <c r="G53" s="41" t="inlineStr">
        <is>
          <t>高</t>
        </is>
      </c>
    </row>
    <row r="54">
      <c r="A54" s="41" t="inlineStr">
        <is>
          <t>US-47</t>
        </is>
      </c>
      <c r="B54" s="41" t="inlineStr">
        <is>
          <t>営業</t>
        </is>
      </c>
      <c r="C54" s="41" t="inlineStr">
        <is>
          <t>当日の同席者変更</t>
        </is>
      </c>
      <c r="D54" s="41" t="inlineStr">
        <is>
          <t>直前の追加/キャンセルに対応</t>
        </is>
      </c>
      <c r="E54" s="41" t="inlineStr">
        <is>
          <t>・/meetings/[id]/attendeesから即座に追加削除
・カレンダー/Zoom再送
・同意フローも再起動</t>
        </is>
      </c>
      <c r="F54" s="41" t="inlineStr">
        <is>
          <t>/meetings/[id]</t>
        </is>
      </c>
      <c r="G54" s="41" t="inlineStr">
        <is>
          <t>中</t>
        </is>
      </c>
    </row>
    <row r="55">
      <c r="A55" s="41" t="inlineStr">
        <is>
          <t>US-48</t>
        </is>
      </c>
      <c r="B55" s="41" t="inlineStr">
        <is>
          <t>営業</t>
        </is>
      </c>
      <c r="C55" s="41" t="inlineStr">
        <is>
          <t>事前未登録話者の識別</t>
        </is>
      </c>
      <c r="D55" s="41" t="inlineStr">
        <is>
          <t>顧客側に新メンバーがいた時の話者判定</t>
        </is>
      </c>
      <c r="E55" s="41" t="inlineStr">
        <is>
          <t>・Pyannote diarizationで未知話者検出
・後で「この話者は誰?」UIで命名
・以降同じ声指紋は自動命名</t>
        </is>
      </c>
      <c r="F55" s="41" t="inlineStr">
        <is>
          <t>/meetings/[id]</t>
        </is>
      </c>
      <c r="G55" s="41" t="inlineStr">
        <is>
          <t>中</t>
        </is>
      </c>
    </row>
    <row r="56">
      <c r="A56" s="41" t="inlineStr">
        <is>
          <t>US-49</t>
        </is>
      </c>
      <c r="B56" s="41" t="inlineStr">
        <is>
          <t>営業</t>
        </is>
      </c>
      <c r="C56" s="41" t="inlineStr">
        <is>
          <t>商談中の資料即時検索</t>
        </is>
      </c>
      <c r="D56" s="41" t="inlineStr">
        <is>
          <t>「あの資料見せたい」をその場で</t>
        </is>
      </c>
      <c r="E56" s="41" t="inlineStr">
        <is>
          <t>・in-meeting search panel(/meetings/[id]/live-search)
・1クリックで画面共有用URL生成(期限付き)
・閲覧ログ取得</t>
        </is>
      </c>
      <c r="F56" s="41" t="inlineStr">
        <is>
          <t>/meetings/[id]/live-search</t>
        </is>
      </c>
      <c r="G56" s="41" t="inlineStr">
        <is>
          <t>中</t>
        </is>
      </c>
    </row>
    <row r="57">
      <c r="A57" s="41" t="inlineStr">
        <is>
          <t>US-50</t>
        </is>
      </c>
      <c r="B57" s="41" t="inlineStr">
        <is>
          <t>営業</t>
        </is>
      </c>
      <c r="C57" s="41" t="inlineStr">
        <is>
          <t>録画長乖離の処理</t>
        </is>
      </c>
      <c r="D57" s="41" t="inlineStr">
        <is>
          <t>予定より長引いた/短く終わった時</t>
        </is>
      </c>
      <c r="E57" s="41" t="inlineStr">
        <is>
          <t>・recording_duration vs scheduled_durationを記録
・延長分も自動取り込み
・短縮時は早期完了で要約即生成</t>
        </is>
      </c>
      <c r="F57" s="41" t="inlineStr">
        <is>
          <t>(バックエンド)</t>
        </is>
      </c>
      <c r="G57" s="41" t="inlineStr">
        <is>
          <t>低</t>
        </is>
      </c>
    </row>
    <row r="58">
      <c r="A58" s="41" t="inlineStr">
        <is>
          <t>US-51</t>
        </is>
      </c>
      <c r="B58" s="41" t="inlineStr">
        <is>
          <t>営業</t>
        </is>
      </c>
      <c r="C58" s="41" t="inlineStr">
        <is>
          <t>段階的要約</t>
        </is>
      </c>
      <c r="D58" s="41" t="inlineStr">
        <is>
          <t>録画解析を段階的に提示(待たせない)</t>
        </is>
      </c>
      <c r="E58" s="41" t="inlineStr">
        <is>
          <t>・stage1: transcript-only(数分)
・stage2: preview-summary(10分)
・stage3: full-extraction(20分)
・各段階で通知</t>
        </is>
      </c>
      <c r="F58" s="41" t="inlineStr">
        <is>
          <t>/meetings/[id]</t>
        </is>
      </c>
      <c r="G58" s="41" t="inlineStr">
        <is>
          <t>高</t>
        </is>
      </c>
    </row>
    <row r="59">
      <c r="A59" s="41" t="inlineStr">
        <is>
          <t>US-52</t>
        </is>
      </c>
      <c r="B59" s="41" t="inlineStr">
        <is>
          <t>営業</t>
        </is>
      </c>
      <c r="C59" s="41" t="inlineStr">
        <is>
          <t>検索結果からのインライン編集</t>
        </is>
      </c>
      <c r="D59" s="41" t="inlineStr">
        <is>
          <t>AI抽出ミスをその場で修正</t>
        </is>
      </c>
      <c r="E59" s="41" t="inlineStr">
        <is>
          <t>・検索結果カードに編集ボタン
・/recordings/[id]?segment=...にdeep link
・編集はaudit log残す</t>
        </is>
      </c>
      <c r="F59" s="41" t="inlineStr">
        <is>
          <t>/search</t>
        </is>
      </c>
      <c r="G59" s="41" t="inlineStr">
        <is>
          <t>中</t>
        </is>
      </c>
    </row>
    <row r="60">
      <c r="A60" s="41" t="inlineStr">
        <is>
          <t>US-53</t>
        </is>
      </c>
      <c r="B60" s="41" t="inlineStr">
        <is>
          <t>CS</t>
        </is>
      </c>
      <c r="C60" s="41" t="inlineStr">
        <is>
          <t>個人情報マスキング</t>
        </is>
      </c>
      <c r="D60" s="41" t="inlineStr">
        <is>
          <t>共有時に住所/電話/金額を自動マスク</t>
        </is>
      </c>
      <c r="E60" s="41" t="inlineStr">
        <is>
          <t>・PII detector(住所/電話/金額/メール)
・共有リンク表示時に自動redact(原本は保持)
・解除権限は管理者のみ</t>
        </is>
      </c>
      <c r="F60" s="41" t="inlineStr">
        <is>
          <t>/share/[token]</t>
        </is>
      </c>
      <c r="G60" s="41" t="inlineStr">
        <is>
          <t>高</t>
        </is>
      </c>
    </row>
    <row r="61">
      <c r="A61" s="41" t="inlineStr">
        <is>
          <t>US-54</t>
        </is>
      </c>
      <c r="B61" s="41" t="inlineStr">
        <is>
          <t>営業</t>
        </is>
      </c>
      <c r="C61" s="41" t="inlineStr">
        <is>
          <t>NG発言のsensitive化</t>
        </is>
      </c>
      <c r="D61" s="41" t="inlineStr">
        <is>
          <t>削除はせずに非公開化</t>
        </is>
      </c>
      <c r="E61" s="41" t="inlineStr">
        <is>
          <t>・recording_segments.sensitivity=sensitive
・共有/横断検索から除外
・本人と管理者のみ閲覧可
・解除はrequest+承認</t>
        </is>
      </c>
      <c r="F61" s="41" t="inlineStr">
        <is>
          <t>/recordings/[id]</t>
        </is>
      </c>
      <c r="G61" s="41" t="inlineStr">
        <is>
          <t>中</t>
        </is>
      </c>
    </row>
    <row r="62">
      <c r="A62" s="41" t="inlineStr">
        <is>
          <t>US-55</t>
        </is>
      </c>
      <c r="B62" s="41" t="inlineStr">
        <is>
          <t>営業</t>
        </is>
      </c>
      <c r="C62" s="41" t="inlineStr">
        <is>
          <t>顧客向け要約</t>
        </is>
      </c>
      <c r="D62" s="41" t="inlineStr">
        <is>
          <t>議事録を顧客に送る用(社内メモ抜き)</t>
        </is>
      </c>
      <c r="E62" s="41" t="inlineStr">
        <is>
          <t>・generate_external_summary プロンプト
・社内メモ/sensitive segmentを除外
・PDFエクスポート/共有リンク</t>
        </is>
      </c>
      <c r="F62" s="41" t="inlineStr">
        <is>
          <t>/meetings/[id]/external-summary</t>
        </is>
      </c>
      <c r="G62" s="41" t="inlineStr">
        <is>
          <t>高</t>
        </is>
      </c>
    </row>
    <row r="63">
      <c r="A63" s="41" t="inlineStr">
        <is>
          <t>US-56</t>
        </is>
      </c>
      <c r="B63" s="41" t="inlineStr">
        <is>
          <t>CS</t>
        </is>
      </c>
      <c r="C63" s="41" t="inlineStr">
        <is>
          <t>クレーム対応の30秒UX</t>
        </is>
      </c>
      <c r="D63" s="41" t="inlineStr">
        <is>
          <t>急いでいる時に最短到達</t>
        </is>
      </c>
      <c r="E63" s="41" t="inlineStr">
        <is>
          <t>・ホームに「クレーム検索」プリセット
・顧客名1タップ→該当発言Top3
・前後3分プレビュー即再生</t>
        </is>
      </c>
      <c r="F63" s="41" t="inlineStr">
        <is>
          <t>/support/quick-search</t>
        </is>
      </c>
      <c r="G63" s="41" t="inlineStr">
        <is>
          <t>高</t>
        </is>
      </c>
    </row>
    <row r="64">
      <c r="A64" s="41" t="inlineStr">
        <is>
          <t>US-57</t>
        </is>
      </c>
      <c r="B64" s="41" t="inlineStr">
        <is>
          <t>CS</t>
        </is>
      </c>
      <c r="C64" s="41" t="inlineStr">
        <is>
          <t>曖昧時系列検索</t>
        </is>
      </c>
      <c r="D64" s="41" t="inlineStr">
        <is>
          <t>「2024年4月頃」のような検索</t>
        </is>
      </c>
      <c r="E64" s="41" t="inlineStr">
        <is>
          <t>・temporal parser(○年○月頃→date range)
・スライダーで期間調整
・検索結果に発話日付明記</t>
        </is>
      </c>
      <c r="F64" s="41" t="inlineStr">
        <is>
          <t>/search</t>
        </is>
      </c>
      <c r="G64" s="41" t="inlineStr">
        <is>
          <t>中</t>
        </is>
      </c>
    </row>
    <row r="65">
      <c r="A65" s="41" t="inlineStr">
        <is>
          <t>US-58</t>
        </is>
      </c>
      <c r="B65" s="41" t="inlineStr">
        <is>
          <t>CS</t>
        </is>
      </c>
      <c r="C65" s="41" t="inlineStr">
        <is>
          <t>クリップ送信</t>
        </is>
      </c>
      <c r="D65" s="41" t="inlineStr">
        <is>
          <t>動画全体を見られたくないので該当部分のみ</t>
        </is>
      </c>
      <c r="E65" s="41" t="inlineStr">
        <is>
          <t>・recording_clipsで切り出し
・期限付き共有リンク(view_window=clip)
・透かし表示</t>
        </is>
      </c>
      <c r="F65" s="41" t="inlineStr">
        <is>
          <t>/recordings/[id]/clip</t>
        </is>
      </c>
      <c r="G65" s="41" t="inlineStr">
        <is>
          <t>高</t>
        </is>
      </c>
    </row>
    <row r="66">
      <c r="A66" s="41" t="inlineStr">
        <is>
          <t>US-59</t>
        </is>
      </c>
      <c r="B66" s="41" t="inlineStr">
        <is>
          <t>CS</t>
        </is>
      </c>
      <c r="C66" s="41" t="inlineStr">
        <is>
          <t>クレームを商談に紐付け</t>
        </is>
      </c>
      <c r="D66" s="41" t="inlineStr">
        <is>
          <t>教訓として商談履歴に蓄積</t>
        </is>
      </c>
      <c r="E66" s="41" t="inlineStr">
        <is>
          <t>・complaint_to_meeting_links
・lessons_learnedテーブル
・関連商談履歴に「過去クレーム」タブ</t>
        </is>
      </c>
      <c r="F66" s="41" t="inlineStr">
        <is>
          <t>/contracts/[id], /complaints</t>
        </is>
      </c>
      <c r="G66" s="41" t="inlineStr">
        <is>
          <t>中</t>
        </is>
      </c>
    </row>
    <row r="67">
      <c r="A67" s="41" t="inlineStr">
        <is>
          <t>US-60</t>
        </is>
      </c>
      <c r="B67" s="41" t="inlineStr">
        <is>
          <t>新人</t>
        </is>
      </c>
      <c r="C67" s="41" t="inlineStr">
        <is>
          <t>ロープレ シナリオ多様化</t>
        </is>
      </c>
      <c r="D67" s="41" t="inlineStr">
        <is>
          <t>同じシナリオでも顧客の機嫌や同席者でバリエーション</t>
        </is>
      </c>
      <c r="E67" s="41" t="inlineStr">
        <is>
          <t>・roleplay_scenario_variants(機嫌/同席者/予算規模/業界)
・乱択可能
・履歴で重複回避</t>
        </is>
      </c>
      <c r="F67" s="41" t="inlineStr">
        <is>
          <t>/roleplay/[id]</t>
        </is>
      </c>
      <c r="G67" s="41" t="inlineStr">
        <is>
          <t>中</t>
        </is>
      </c>
    </row>
    <row r="68">
      <c r="A68" s="41" t="inlineStr">
        <is>
          <t>US-61</t>
        </is>
      </c>
      <c r="B68" s="41" t="inlineStr">
        <is>
          <t>新人</t>
        </is>
      </c>
      <c r="C68" s="41" t="inlineStr">
        <is>
          <t>ロープレ時間制限</t>
        </is>
      </c>
      <c r="D68" s="41" t="inlineStr">
        <is>
          <t>20分以内に締めるなど実戦感</t>
        </is>
      </c>
      <c r="E68" s="41" t="inlineStr">
        <is>
          <t>・time_limit_seconds設定
・残時間バー
・終了時自動評価</t>
        </is>
      </c>
      <c r="F68" s="41" t="inlineStr">
        <is>
          <t>/roleplay/[id]</t>
        </is>
      </c>
      <c r="G68" s="41" t="inlineStr">
        <is>
          <t>低</t>
        </is>
      </c>
    </row>
    <row r="69">
      <c r="A69" s="41" t="inlineStr">
        <is>
          <t>US-62</t>
        </is>
      </c>
      <c r="B69" s="41" t="inlineStr">
        <is>
          <t>新人</t>
        </is>
      </c>
      <c r="C69" s="41" t="inlineStr">
        <is>
          <t>ロープレ降参モード</t>
        </is>
      </c>
      <c r="D69" s="41" t="inlineStr">
        <is>
          <t>詰まった時にコーチが指南</t>
        </is>
      </c>
      <c r="E69" s="41" t="inlineStr">
        <is>
          <t>・「Give up &amp; Hint」ボタン
・コーチAIが状況分析+次の一手提案
・スコアにペナルティ(透明)</t>
        </is>
      </c>
      <c r="F69" s="41" t="inlineStr">
        <is>
          <t>/roleplay/[id]</t>
        </is>
      </c>
      <c r="G69" s="41" t="inlineStr">
        <is>
          <t>中</t>
        </is>
      </c>
    </row>
    <row r="70">
      <c r="A70" s="41" t="inlineStr">
        <is>
          <t>US-63</t>
        </is>
      </c>
      <c r="B70" s="41" t="inlineStr">
        <is>
          <t>マネージャー</t>
        </is>
      </c>
      <c r="C70" s="41" t="inlineStr">
        <is>
          <t>リアルタイム割り込み</t>
        </is>
      </c>
      <c r="D70" s="41" t="inlineStr">
        <is>
          <t>メンバーのロープレに割り込み指導</t>
        </is>
      </c>
      <c r="E70" s="41" t="inlineStr">
        <is>
          <t>・観戦モード(WebRTC observe)
・コメント挿入
・一時停止指示
・本人合意要(設定で許可)</t>
        </is>
      </c>
      <c r="F70" s="41" t="inlineStr">
        <is>
          <t>/team/roleplay/live</t>
        </is>
      </c>
      <c r="G70" s="41" t="inlineStr">
        <is>
          <t>低</t>
        </is>
      </c>
    </row>
    <row r="71">
      <c r="A71" s="41" t="inlineStr">
        <is>
          <t>US-64</t>
        </is>
      </c>
      <c r="B71" s="41" t="inlineStr">
        <is>
          <t>管理者</t>
        </is>
      </c>
      <c r="C71" s="41" t="inlineStr">
        <is>
          <t>失敗パターン集計</t>
        </is>
      </c>
      <c r="D71" s="41" t="inlineStr">
        <is>
          <t>全社で「よくやる失敗トップ10」を可視化</t>
        </is>
      </c>
      <c r="E71" s="41" t="inlineStr">
        <is>
          <t>・roleplay_failure_patternsで集計
・月次レポート
・教育コンテンツ自動作成</t>
        </is>
      </c>
      <c r="F71" s="41" t="inlineStr">
        <is>
          <t>/admin/insights</t>
        </is>
      </c>
      <c r="G71" s="41" t="inlineStr">
        <is>
          <t>中</t>
        </is>
      </c>
    </row>
    <row r="72">
      <c r="A72" s="41" t="inlineStr">
        <is>
          <t>US-65</t>
        </is>
      </c>
      <c r="B72" s="41" t="inlineStr">
        <is>
          <t>新人</t>
        </is>
      </c>
      <c r="C72" s="41" t="inlineStr">
        <is>
          <t>ロープレ発話タイミング</t>
        </is>
      </c>
      <c r="D72" s="41" t="inlineStr">
        <is>
          <t>間が悪い・被りを評価</t>
        </is>
      </c>
      <c r="E72" s="41" t="inlineStr">
        <is>
          <t>・voice_metrics(間合い/被り/ターン取り)
・自然対話スコア</t>
        </is>
      </c>
      <c r="F72" s="41" t="inlineStr">
        <is>
          <t>/roleplay/[id]?mode=voice</t>
        </is>
      </c>
      <c r="G72" s="41" t="inlineStr">
        <is>
          <t>低</t>
        </is>
      </c>
    </row>
    <row r="73">
      <c r="A73" s="41" t="inlineStr">
        <is>
          <t>US-66</t>
        </is>
      </c>
      <c r="B73" s="41" t="inlineStr">
        <is>
          <t>新人</t>
        </is>
      </c>
      <c r="C73" s="41" t="inlineStr">
        <is>
          <t>録画→シナリオ生成</t>
        </is>
      </c>
      <c r="D73" s="41" t="inlineStr">
        <is>
          <t>この録画と同じシチュでロープレ</t>
        </is>
      </c>
      <c r="E73" s="41" t="inlineStr">
        <is>
          <t>・/recordings/[id]→「この商談でロープレ」ボタン
・ペルソナ/状況/反論を自動抽出</t>
        </is>
      </c>
      <c r="F73" s="41" t="inlineStr">
        <is>
          <t>/recordings/[id], /roleplay</t>
        </is>
      </c>
      <c r="G73" s="41" t="inlineStr">
        <is>
          <t>中</t>
        </is>
      </c>
    </row>
    <row r="74">
      <c r="A74" s="41" t="inlineStr">
        <is>
          <t>US-67</t>
        </is>
      </c>
      <c r="B74" s="41" t="inlineStr">
        <is>
          <t>マネージャー</t>
        </is>
      </c>
      <c r="C74" s="41" t="inlineStr">
        <is>
          <t>受注率原因のAI診断</t>
        </is>
      </c>
      <c r="D74" s="41" t="inlineStr">
        <is>
          <t>最近の受注率低下の原因をAIが診断</t>
        </is>
      </c>
      <c r="E74" s="41" t="inlineStr">
        <is>
          <t>・diagnostics job(週次)
・要因候補(価格/反論/他社競合/担当別)
・自然言語サマリ</t>
        </is>
      </c>
      <c r="F74" s="41" t="inlineStr">
        <is>
          <t>/dashboard/manager</t>
        </is>
      </c>
      <c r="G74" s="41" t="inlineStr">
        <is>
          <t>中</t>
        </is>
      </c>
    </row>
    <row r="75">
      <c r="A75" s="41" t="inlineStr">
        <is>
          <t>US-68</t>
        </is>
      </c>
      <c r="B75" s="41" t="inlineStr">
        <is>
          <t>マネージャー</t>
        </is>
      </c>
      <c r="C75" s="41" t="inlineStr">
        <is>
          <t>トップパフォーマー比較</t>
        </is>
      </c>
      <c r="D75" s="41" t="inlineStr">
        <is>
          <t>優秀者の話し方を共有</t>
        </is>
      </c>
      <c r="E75" s="41" t="inlineStr">
        <is>
          <t>・top_performer_phrases抽出
・本人合意済みのみ公開
・テンプレ化</t>
        </is>
      </c>
      <c r="F75" s="41" t="inlineStr">
        <is>
          <t>/team/top-phrases</t>
        </is>
      </c>
      <c r="G75" s="41" t="inlineStr">
        <is>
          <t>中</t>
        </is>
      </c>
    </row>
    <row r="76">
      <c r="A76" s="41" t="inlineStr">
        <is>
          <t>US-69</t>
        </is>
      </c>
      <c r="B76" s="41" t="inlineStr">
        <is>
          <t>マネージャー</t>
        </is>
      </c>
      <c r="C76" s="41" t="inlineStr">
        <is>
          <t>製品説明テンプレ統一</t>
        </is>
      </c>
      <c r="D76" s="41" t="inlineStr">
        <is>
          <t>うちのプロダクトの説明を統一</t>
        </is>
      </c>
      <c r="E76" s="41" t="inlineStr">
        <is>
          <t>・product_positioning_phrases(承認制)
・商談中にサジェスト</t>
        </is>
      </c>
      <c r="F76" s="41" t="inlineStr">
        <is>
          <t>/admin/positioning</t>
        </is>
      </c>
      <c r="G76" s="41" t="inlineStr">
        <is>
          <t>低</t>
        </is>
      </c>
    </row>
    <row r="77">
      <c r="A77" s="41" t="inlineStr">
        <is>
          <t>US-70</t>
        </is>
      </c>
      <c r="B77" s="41" t="inlineStr">
        <is>
          <t>マネージャー</t>
        </is>
      </c>
      <c r="C77" s="41" t="inlineStr">
        <is>
          <t>個人スコア配慮</t>
        </is>
      </c>
      <c r="D77" s="41" t="inlineStr">
        <is>
          <t>低スコアを晒さない設計</t>
        </is>
      </c>
      <c r="E77" s="41" t="inlineStr">
        <is>
          <t>・チーム集計のみデフォルト
・個人スコアはマネージャー本人と上長のみ
・本人ダッシュボードで自分のスコアは可視</t>
        </is>
      </c>
      <c r="F77" s="41" t="inlineStr">
        <is>
          <t>/dashboard/manager</t>
        </is>
      </c>
      <c r="G77" s="41" t="inlineStr">
        <is>
          <t>高</t>
        </is>
      </c>
    </row>
    <row r="78">
      <c r="A78" s="41" t="inlineStr">
        <is>
          <t>US-71</t>
        </is>
      </c>
      <c r="B78" s="41" t="inlineStr">
        <is>
          <t>マネージャー</t>
        </is>
      </c>
      <c r="C78" s="41" t="inlineStr">
        <is>
          <t>失注分析</t>
        </is>
      </c>
      <c r="D78" s="41" t="inlineStr">
        <is>
          <t>同じ業界・反論で繰り返し負けてないか</t>
        </is>
      </c>
      <c r="E78" s="41" t="inlineStr">
        <is>
          <t>・loss_analysis(業界×反論×担当)
・パターン抽出
・対策ナレッジ提案</t>
        </is>
      </c>
      <c r="F78" s="41" t="inlineStr">
        <is>
          <t>/dashboard/manager/losses</t>
        </is>
      </c>
      <c r="G78" s="41" t="inlineStr">
        <is>
          <t>中</t>
        </is>
      </c>
    </row>
    <row r="79">
      <c r="A79" s="41" t="inlineStr">
        <is>
          <t>US-72</t>
        </is>
      </c>
      <c r="B79" s="41" t="inlineStr">
        <is>
          <t>CS</t>
        </is>
      </c>
      <c r="C79" s="41" t="inlineStr">
        <is>
          <t>認識ズレ報告</t>
        </is>
      </c>
      <c r="D79" s="41" t="inlineStr">
        <is>
          <t>営業時の話と違う点を報告</t>
        </is>
      </c>
      <c r="E79" s="41" t="inlineStr">
        <is>
          <t>・alignment_reports(CS→営業)
・該当録画引用
・対応ステータス</t>
        </is>
      </c>
      <c r="F79" s="41" t="inlineStr">
        <is>
          <t>/handoffs/[id]</t>
        </is>
      </c>
      <c r="G79" s="41" t="inlineStr">
        <is>
          <t>中</t>
        </is>
      </c>
    </row>
    <row r="80">
      <c r="A80" s="41" t="inlineStr">
        <is>
          <t>US-73</t>
        </is>
      </c>
      <c r="B80" s="41" t="inlineStr">
        <is>
          <t>CS</t>
        </is>
      </c>
      <c r="C80" s="41" t="inlineStr">
        <is>
          <t>引き継ぎ予習</t>
        </is>
      </c>
      <c r="D80" s="41" t="inlineStr">
        <is>
          <t>キックオフ前にCSが予習</t>
        </is>
      </c>
      <c r="E80" s="41" t="inlineStr">
        <is>
          <t>・/handoffs/[id]/preview
・主要録画ハイライトクリップ
・要点まとめ
・チェックリスト</t>
        </is>
      </c>
      <c r="F80" s="41" t="inlineStr">
        <is>
          <t>/handoffs/[id]/preview</t>
        </is>
      </c>
      <c r="G80" s="41" t="inlineStr">
        <is>
          <t>中</t>
        </is>
      </c>
    </row>
    <row r="81">
      <c r="A81" s="41" t="inlineStr">
        <is>
          <t>US-74</t>
        </is>
      </c>
      <c r="B81" s="41" t="inlineStr">
        <is>
          <t>CS</t>
        </is>
      </c>
      <c r="C81" s="41" t="inlineStr">
        <is>
          <t>契約更新3ヶ月前アラート</t>
        </is>
      </c>
      <c r="D81" s="41" t="inlineStr">
        <is>
          <t>更新タイミングを見逃さない</t>
        </is>
      </c>
      <c r="E81" s="41" t="inlineStr">
        <is>
          <t>・cron job(日次)で3ヶ月前を抽出
・push通知 + ダッシュボード強調表示</t>
        </is>
      </c>
      <c r="F81" s="41" t="inlineStr">
        <is>
          <t>/dashboard</t>
        </is>
      </c>
      <c r="G81" s="41" t="inlineStr">
        <is>
          <t>高</t>
        </is>
      </c>
    </row>
    <row r="82">
      <c r="A82" s="41" t="inlineStr">
        <is>
          <t>US-75</t>
        </is>
      </c>
      <c r="B82" s="41" t="inlineStr">
        <is>
          <t>CS</t>
        </is>
      </c>
      <c r="C82" s="41" t="inlineStr">
        <is>
          <t>アップセル機会の検出</t>
        </is>
      </c>
      <c r="D82" s="41" t="inlineStr">
        <is>
          <t>CS会話から営業へエスカレーション</t>
        </is>
      </c>
      <c r="E82" s="41" t="inlineStr">
        <is>
          <t>・upsell_signal_detector(発話分析)
・営業に通知+CRMにメモ</t>
        </is>
      </c>
      <c r="F82" s="41" t="inlineStr">
        <is>
          <t>/dashboard</t>
        </is>
      </c>
      <c r="G82" s="41" t="inlineStr">
        <is>
          <t>中</t>
        </is>
      </c>
    </row>
    <row r="83">
      <c r="A83" s="41" t="inlineStr">
        <is>
          <t>US-76</t>
        </is>
      </c>
      <c r="B83" s="41" t="inlineStr">
        <is>
          <t>営業</t>
        </is>
      </c>
      <c r="C83" s="41" t="inlineStr">
        <is>
          <t>メール30秒undo</t>
        </is>
      </c>
      <c r="D83" s="41" t="inlineStr">
        <is>
          <t>送信ボタン押下後30秒は取り消し可能</t>
        </is>
      </c>
      <c r="E83" s="41" t="inlineStr">
        <is>
          <t>・email_send_with_undo(30秒バッファ)
・後出しの訂正メール送信支援テンプレ</t>
        </is>
      </c>
      <c r="F83" s="41" t="inlineStr">
        <is>
          <t>/email-drafts/[id]</t>
        </is>
      </c>
      <c r="G83" s="41" t="inlineStr">
        <is>
          <t>高</t>
        </is>
      </c>
    </row>
    <row r="84">
      <c r="A84" s="41" t="inlineStr">
        <is>
          <t>US-77</t>
        </is>
      </c>
      <c r="B84" s="41" t="inlineStr">
        <is>
          <t>全員</t>
        </is>
      </c>
      <c r="C84" s="41" t="inlineStr">
        <is>
          <t>削除コンタクト復旧</t>
        </is>
      </c>
      <c r="D84" s="41" t="inlineStr">
        <is>
          <t>誤削除を復旧</t>
        </is>
      </c>
      <c r="E84" s="41" t="inlineStr">
        <is>
          <t>・全主要テーブル soft delete(deleted_at)
・30日以内に復旧UI
・/admin/trash</t>
        </is>
      </c>
      <c r="F84" s="41" t="inlineStr">
        <is>
          <t>/admin/trash</t>
        </is>
      </c>
      <c r="G84" s="41" t="inlineStr">
        <is>
          <t>高</t>
        </is>
      </c>
    </row>
    <row r="85">
      <c r="A85" s="41" t="inlineStr">
        <is>
          <t>US-78</t>
        </is>
      </c>
      <c r="B85" s="41" t="inlineStr">
        <is>
          <t>営業</t>
        </is>
      </c>
      <c r="C85" s="41" t="inlineStr">
        <is>
          <t>AI抽出やり直し</t>
        </is>
      </c>
      <c r="D85" s="41" t="inlineStr">
        <is>
          <t>抽出が完全に間違ってる時の全体やり直し</t>
        </is>
      </c>
      <c r="E85" s="41" t="inlineStr">
        <is>
          <t>・/recordings/[id]/reprocessボタン
・モデル選択(Sonnet/Opus)
・差分表示</t>
        </is>
      </c>
      <c r="F85" s="41" t="inlineStr">
        <is>
          <t>/recordings/[id]</t>
        </is>
      </c>
      <c r="G85" s="41" t="inlineStr">
        <is>
          <t>中</t>
        </is>
      </c>
    </row>
    <row r="86">
      <c r="A86" s="41" t="inlineStr">
        <is>
          <t>US-79</t>
        </is>
      </c>
      <c r="B86" s="41" t="inlineStr">
        <is>
          <t>全員</t>
        </is>
      </c>
      <c r="C86" s="41" t="inlineStr">
        <is>
          <t>同期失敗バッジ</t>
        </is>
      </c>
      <c r="D86" s="41" t="inlineStr">
        <is>
          <t>Calendarに同期できていないことに気付ける</t>
        </is>
      </c>
      <c r="E86" s="41" t="inlineStr">
        <is>
          <t>・sync_failure_indicator(画面右上)
・詳細とリトライ
・閾値超で管理者通知</t>
        </is>
      </c>
      <c r="F86" s="41" t="inlineStr">
        <is>
          <t>(全画面)</t>
        </is>
      </c>
      <c r="G86" s="41" t="inlineStr">
        <is>
          <t>高</t>
        </is>
      </c>
    </row>
    <row r="87">
      <c r="A87" s="41" t="inlineStr">
        <is>
          <t>US-80</t>
        </is>
      </c>
      <c r="B87" s="41" t="inlineStr">
        <is>
          <t>全員</t>
        </is>
      </c>
      <c r="C87" s="41" t="inlineStr">
        <is>
          <t>権限不足の申請動線</t>
        </is>
      </c>
      <c r="D87" s="41" t="inlineStr">
        <is>
          <t>エラーページではなく申請ボタン</t>
        </is>
      </c>
      <c r="E87" s="41" t="inlineStr">
        <is>
          <t>・permission_request UI
・上長/管理者承認フロー</t>
        </is>
      </c>
      <c r="F87" s="41" t="inlineStr">
        <is>
          <t>(403時)</t>
        </is>
      </c>
      <c r="G87" s="41" t="inlineStr">
        <is>
          <t>中</t>
        </is>
      </c>
    </row>
    <row r="88">
      <c r="A88" s="41" t="inlineStr">
        <is>
          <t>US-81</t>
        </is>
      </c>
      <c r="B88" s="41" t="inlineStr">
        <is>
          <t>全員</t>
        </is>
      </c>
      <c r="C88" s="41" t="inlineStr">
        <is>
          <t>モバイル通信切れの自動保存</t>
        </is>
      </c>
      <c r="D88" s="41" t="inlineStr">
        <is>
          <t>入力中データを失わない</t>
        </is>
      </c>
      <c r="E88" s="41" t="inlineStr">
        <is>
          <t>・autosave(IndexedDB, 5秒間隔)
・復帰時にbanner通知
・破棄/復元選択</t>
        </is>
      </c>
      <c r="F88" s="41" t="inlineStr">
        <is>
          <t>(モバイル全画面)</t>
        </is>
      </c>
      <c r="G88" s="41" t="inlineStr">
        <is>
          <t>高</t>
        </is>
      </c>
    </row>
    <row r="89">
      <c r="A89" s="41" t="inlineStr">
        <is>
          <t>US-82</t>
        </is>
      </c>
      <c r="B89" s="41" t="inlineStr">
        <is>
          <t>管理者</t>
        </is>
      </c>
      <c r="C89" s="41" t="inlineStr">
        <is>
          <t>事故削除のロールバック</t>
        </is>
      </c>
      <c r="D89" s="41" t="inlineStr">
        <is>
          <t>管理者が事故で全削除しても復旧</t>
        </is>
      </c>
      <c r="E89" s="41" t="inlineStr">
        <is>
          <t>・破壊的操作はreason必須+確認ダイアログ
・PITR(Point-in-time-recovery)7日
・/admin/audit/rollback</t>
        </is>
      </c>
      <c r="F89" s="41" t="inlineStr">
        <is>
          <t>/admin/audit</t>
        </is>
      </c>
      <c r="G89" s="41" t="inlineStr">
        <is>
          <t>高</t>
        </is>
      </c>
    </row>
    <row r="90">
      <c r="A90" s="41" t="inlineStr">
        <is>
          <t>US-83</t>
        </is>
      </c>
      <c r="B90" s="41" t="inlineStr">
        <is>
          <t>全員</t>
        </is>
      </c>
      <c r="C90" s="41" t="inlineStr">
        <is>
          <t>2デバイス同時編集</t>
        </is>
      </c>
      <c r="D90" s="41" t="inlineStr">
        <is>
          <t>衝突を検知して表示</t>
        </is>
      </c>
      <c r="E90" s="41" t="inlineStr">
        <is>
          <t>・楽観ロック(version列)
・衝突時はマージダイアログ
・realtime通知</t>
        </is>
      </c>
      <c r="F90" s="41" t="inlineStr">
        <is>
          <t>(編集系全画面)</t>
        </is>
      </c>
      <c r="G90" s="41" t="inlineStr">
        <is>
          <t>中</t>
        </is>
      </c>
    </row>
    <row r="91">
      <c r="A91" s="41" t="inlineStr">
        <is>
          <t>US-84</t>
        </is>
      </c>
      <c r="B91" s="41" t="inlineStr">
        <is>
          <t>営業</t>
        </is>
      </c>
      <c r="C91" s="41" t="inlineStr">
        <is>
          <t>録画同意の運用</t>
        </is>
      </c>
      <c r="D91" s="41" t="inlineStr">
        <is>
          <t>商談冒頭の同意取得</t>
        </is>
      </c>
      <c r="E91" s="41" t="inlineStr">
        <is>
          <t>・冒頭で同意アナウンス自動再生(任意)
・同意ログ(meeting_consent_captures)
・不同意なら録画停止</t>
        </is>
      </c>
      <c r="F91" s="41" t="inlineStr">
        <is>
          <t>/meetings/[id]</t>
        </is>
      </c>
      <c r="G91" s="41" t="inlineStr">
        <is>
          <t>高</t>
        </is>
      </c>
    </row>
    <row r="92">
      <c r="A92" s="41" t="inlineStr">
        <is>
          <t>US-85</t>
        </is>
      </c>
      <c r="B92" s="41" t="inlineStr">
        <is>
          <t>顧客</t>
        </is>
      </c>
      <c r="C92" s="41" t="inlineStr">
        <is>
          <t>発言削除依頼</t>
        </is>
      </c>
      <c r="D92" s="41" t="inlineStr">
        <is>
          <t>GDPR/個人情報保護法に基づく削除依頼</t>
        </is>
      </c>
      <c r="E92" s="41" t="inlineStr">
        <is>
          <t>・/share/[token]に削除依頼ボタン
・data_deletion_requests
・30日以内に対応
・対応ログ</t>
        </is>
      </c>
      <c r="F92" s="41" t="inlineStr">
        <is>
          <t>/share/[token]/request</t>
        </is>
      </c>
      <c r="G92" s="41" t="inlineStr">
        <is>
          <t>高</t>
        </is>
      </c>
    </row>
    <row r="93">
      <c r="A93" s="41" t="inlineStr">
        <is>
          <t>US-86</t>
        </is>
      </c>
      <c r="B93" s="41" t="inlineStr">
        <is>
          <t>管理者</t>
        </is>
      </c>
      <c r="C93" s="41" t="inlineStr">
        <is>
          <t>退職者発言の方針設定</t>
        </is>
      </c>
      <c r="D93" s="41" t="inlineStr">
        <is>
          <t>営業退職後の録画扱い</t>
        </is>
      </c>
      <c r="E93" s="41" t="inlineStr">
        <is>
          <t>・ex_employee_speech_policy(retain/anonymize/delete)
・組織設定で選択</t>
        </is>
      </c>
      <c r="F93" s="41" t="inlineStr">
        <is>
          <t>/admin/policy</t>
        </is>
      </c>
      <c r="G93" s="41" t="inlineStr">
        <is>
          <t>中</t>
        </is>
      </c>
    </row>
    <row r="94">
      <c r="A94" s="41" t="inlineStr">
        <is>
          <t>US-87</t>
        </is>
      </c>
      <c r="B94" s="41" t="inlineStr">
        <is>
          <t>管理者</t>
        </is>
      </c>
      <c r="C94" s="41" t="inlineStr">
        <is>
          <t>法的開示請求対応</t>
        </is>
      </c>
      <c r="D94" s="41" t="inlineStr">
        <is>
          <t>監査ログ・データエクスポート</t>
        </is>
      </c>
      <c r="E94" s="41" t="inlineStr">
        <is>
          <t>・legal_disclosures(チェーンオブカストディ)
・期間/対象指定エクスポート</t>
        </is>
      </c>
      <c r="F94" s="41" t="inlineStr">
        <is>
          <t>/admin/legal</t>
        </is>
      </c>
      <c r="G94" s="41" t="inlineStr">
        <is>
          <t>低</t>
        </is>
      </c>
    </row>
    <row r="95">
      <c r="A95" s="41" t="inlineStr">
        <is>
          <t>US-88</t>
        </is>
      </c>
      <c r="B95" s="41" t="inlineStr">
        <is>
          <t>管理者</t>
        </is>
      </c>
      <c r="C95" s="41" t="inlineStr">
        <is>
          <t>データ保管地域</t>
        </is>
      </c>
      <c r="D95" s="41" t="inlineStr">
        <is>
          <t>東京リージョン固定</t>
        </is>
      </c>
      <c r="E95" s="41" t="inlineStr">
        <is>
          <t>・supabase_region=ap-northeast-1
・R2 region同様
・契約書明記</t>
        </is>
      </c>
      <c r="F95" s="41" t="inlineStr">
        <is>
          <t>(インフラ)</t>
        </is>
      </c>
      <c r="G95" s="41" t="inlineStr">
        <is>
          <t>高</t>
        </is>
      </c>
    </row>
    <row r="96">
      <c r="A96" s="41" t="inlineStr">
        <is>
          <t>US-89</t>
        </is>
      </c>
      <c r="B96" s="41" t="inlineStr">
        <is>
          <t>新人</t>
        </is>
      </c>
      <c r="C96" s="41" t="inlineStr">
        <is>
          <t>初日の体験</t>
        </is>
      </c>
      <c r="D96" s="41" t="inlineStr">
        <is>
          <t>空状態でも価値を体感</t>
        </is>
      </c>
      <c r="E96" s="41" t="inlineStr">
        <is>
          <t>・サンプルデータ自動投入
・guided tour(7ステップ)
・スキップ可能</t>
        </is>
      </c>
      <c r="F96" s="41" t="inlineStr">
        <is>
          <t>/onboarding</t>
        </is>
      </c>
      <c r="G96" s="41" t="inlineStr">
        <is>
          <t>中</t>
        </is>
      </c>
    </row>
    <row r="97">
      <c r="A97" s="41" t="inlineStr">
        <is>
          <t>US-90</t>
        </is>
      </c>
      <c r="B97" s="41" t="inlineStr">
        <is>
          <t>営業</t>
        </is>
      </c>
      <c r="C97" s="41" t="inlineStr">
        <is>
          <t>既存名刺一括インポート</t>
        </is>
      </c>
      <c r="D97" s="41" t="inlineStr">
        <is>
          <t>Sansan/Eight/CSVから移行</t>
        </is>
      </c>
      <c r="E97" s="41" t="inlineStr">
        <is>
          <t>・/contacts/import/legacy
・CSV/vCard/Sansan API
・重複検知マージ</t>
        </is>
      </c>
      <c r="F97" s="41" t="inlineStr">
        <is>
          <t>/contacts/import/legacy</t>
        </is>
      </c>
      <c r="G97" s="41" t="inlineStr">
        <is>
          <t>中</t>
        </is>
      </c>
    </row>
    <row r="98">
      <c r="A98" s="41" t="inlineStr">
        <is>
          <t>US-91</t>
        </is>
      </c>
      <c r="B98" s="41" t="inlineStr">
        <is>
          <t>営業</t>
        </is>
      </c>
      <c r="C98" s="41" t="inlineStr">
        <is>
          <t>過去Zoom録画取り込み</t>
        </is>
      </c>
      <c r="D98" s="41" t="inlineStr">
        <is>
          <t>これまでの録画も取り込みたい</t>
        </is>
      </c>
      <c r="E98" s="41" t="inlineStr">
        <is>
          <t>・/recordings/import/zoom-historical
・期間指定で一括取り込み
・処理進捗表示</t>
        </is>
      </c>
      <c r="F98" s="41" t="inlineStr">
        <is>
          <t>/recordings/import</t>
        </is>
      </c>
      <c r="G98" s="41" t="inlineStr">
        <is>
          <t>低</t>
        </is>
      </c>
    </row>
    <row r="99">
      <c r="A99" s="41" t="inlineStr">
        <is>
          <t>US-92</t>
        </is>
      </c>
      <c r="B99" s="41" t="inlineStr">
        <is>
          <t>新人</t>
        </is>
      </c>
      <c r="C99" s="41" t="inlineStr">
        <is>
          <t>推奨ナレッジリスト</t>
        </is>
      </c>
      <c r="D99" s="41" t="inlineStr">
        <is>
          <t>新メンバー向け学習リスト</t>
        </is>
      </c>
      <c r="E99" s="41" t="inlineStr">
        <is>
          <t>・ロール別onboarding_recommendations
・進捗トラッキング
・修了バッジ</t>
        </is>
      </c>
      <c r="F99" s="41" t="inlineStr">
        <is>
          <t>/onboarding/learn</t>
        </is>
      </c>
      <c r="G99" s="41" t="inlineStr">
        <is>
          <t>低</t>
        </is>
      </c>
    </row>
    <row r="100">
      <c r="A100" s="41" t="inlineStr">
        <is>
          <t>US-93</t>
        </is>
      </c>
      <c r="B100" s="41" t="inlineStr">
        <is>
          <t>全員</t>
        </is>
      </c>
      <c r="C100" s="41" t="inlineStr">
        <is>
          <t>最近見たもの</t>
        </is>
      </c>
      <c r="D100" s="41" t="inlineStr">
        <is>
          <t>「この前見たあれ」</t>
        </is>
      </c>
      <c r="E100" s="41" t="inlineStr">
        <is>
          <t>・recent_views(直近50件)
・ホームにカード表示</t>
        </is>
      </c>
      <c r="F100" s="41" t="inlineStr">
        <is>
          <t>/dashboard</t>
        </is>
      </c>
      <c r="G100" s="41" t="inlineStr">
        <is>
          <t>中</t>
        </is>
      </c>
    </row>
    <row r="101">
      <c r="A101" s="41" t="inlineStr">
        <is>
          <t>US-94</t>
        </is>
      </c>
      <c r="B101" s="41" t="inlineStr">
        <is>
          <t>全員</t>
        </is>
      </c>
      <c r="C101" s="41" t="inlineStr">
        <is>
          <t>ハイブリッド検索ランキング</t>
        </is>
      </c>
      <c r="D101" s="41" t="inlineStr">
        <is>
          <t>直近+関連度の混合</t>
        </is>
      </c>
      <c r="E101" s="41" t="inlineStr">
        <is>
          <t>・bm25*0.4 + vector*0.4 + recency*0.2
・ランキング理由の可視化(なぜ上位)</t>
        </is>
      </c>
      <c r="F101" s="41" t="inlineStr">
        <is>
          <t>/search</t>
        </is>
      </c>
      <c r="G101" s="41" t="inlineStr">
        <is>
          <t>高</t>
        </is>
      </c>
    </row>
    <row r="102">
      <c r="A102" s="41" t="inlineStr">
        <is>
          <t>US-95</t>
        </is>
      </c>
      <c r="B102" s="41" t="inlineStr">
        <is>
          <t>全員</t>
        </is>
      </c>
      <c r="C102" s="41" t="inlineStr">
        <is>
          <t>古い情報の扱い</t>
        </is>
      </c>
      <c r="D102" s="41" t="inlineStr">
        <is>
          <t>撤回・古い情報を除外</t>
        </is>
      </c>
      <c r="E102" s="41" t="inlineStr">
        <is>
          <t>・knowledge_items.deprecated_at
・検索結果に「古い情報」バッジ
・除外フィルタ</t>
        </is>
      </c>
      <c r="F102" s="41" t="inlineStr">
        <is>
          <t>/search, /knowledge</t>
        </is>
      </c>
      <c r="G102" s="41" t="inlineStr">
        <is>
          <t>中</t>
        </is>
      </c>
    </row>
    <row r="103">
      <c r="A103" s="41" t="inlineStr">
        <is>
          <t>US-96</t>
        </is>
      </c>
      <c r="B103" s="41" t="inlineStr">
        <is>
          <t>全員</t>
        </is>
      </c>
      <c r="C103" s="41" t="inlineStr">
        <is>
          <t>ハルシネーション抑止</t>
        </is>
      </c>
      <c r="D103" s="41" t="inlineStr">
        <is>
          <t>出典なしには答えない</t>
        </is>
      </c>
      <c r="E103" s="41" t="inlineStr">
        <is>
          <t>・no_source_no_answerポリシー
・引用必須プロンプト
・出典が空ならフォールバック「該当なし」</t>
        </is>
      </c>
      <c r="F103" s="41" t="inlineStr">
        <is>
          <t>/knowledge</t>
        </is>
      </c>
      <c r="G103" s="41" t="inlineStr">
        <is>
          <t>高</t>
        </is>
      </c>
    </row>
    <row r="104">
      <c r="A104" s="41" t="inlineStr">
        <is>
          <t>US-97</t>
        </is>
      </c>
      <c r="B104" s="41" t="inlineStr">
        <is>
          <t>全員</t>
        </is>
      </c>
      <c r="C104" s="41" t="inlineStr">
        <is>
          <t>自分宛発言の絞り込み</t>
        </is>
      </c>
      <c r="D104" s="41" t="inlineStr">
        <is>
          <t>自分が話した部分だけ抽出</t>
        </is>
      </c>
      <c r="E104" s="41" t="inlineStr">
        <is>
          <t>・speaker_filter=self
・話者切替</t>
        </is>
      </c>
      <c r="F104" s="41" t="inlineStr">
        <is>
          <t>/recordings/[id], /search</t>
        </is>
      </c>
      <c r="G104" s="41" t="inlineStr">
        <is>
          <t>中</t>
        </is>
      </c>
    </row>
    <row r="105">
      <c r="A105" s="41" t="inlineStr">
        <is>
          <t>US-98</t>
        </is>
      </c>
      <c r="B105" s="41" t="inlineStr">
        <is>
          <t>全員</t>
        </is>
      </c>
      <c r="C105" s="41" t="inlineStr">
        <is>
          <t>オフライン議事録閲覧</t>
        </is>
      </c>
      <c r="D105" s="41" t="inlineStr">
        <is>
          <t>電車内で議事録を読める</t>
        </is>
      </c>
      <c r="E105" s="41" t="inlineStr">
        <is>
          <t>・Service Workerでcache(直近10件)
・オフライン表示UI</t>
        </is>
      </c>
      <c r="F105" s="41" t="inlineStr">
        <is>
          <t>(全モバイル)</t>
        </is>
      </c>
      <c r="G105" s="41" t="inlineStr">
        <is>
          <t>中</t>
        </is>
      </c>
    </row>
    <row r="106">
      <c r="A106" s="41" t="inlineStr">
        <is>
          <t>US-99</t>
        </is>
      </c>
      <c r="B106" s="41" t="inlineStr">
        <is>
          <t>全員</t>
        </is>
      </c>
      <c r="C106" s="41" t="inlineStr">
        <is>
          <t>音声メモで報告</t>
        </is>
      </c>
      <c r="D106" s="41" t="inlineStr">
        <is>
          <t>音声→文字→商談メモ</t>
        </is>
      </c>
      <c r="E106" s="41" t="inlineStr">
        <is>
          <t>・/mobile/voice-memo→Whisper→meeting_notes
・60秒上限</t>
        </is>
      </c>
      <c r="F106" s="41" t="inlineStr">
        <is>
          <t>/mobile/voice-memo</t>
        </is>
      </c>
      <c r="G106" s="41" t="inlineStr">
        <is>
          <t>中</t>
        </is>
      </c>
    </row>
    <row r="107">
      <c r="A107" s="41" t="inlineStr">
        <is>
          <t>US-100</t>
        </is>
      </c>
      <c r="B107" s="41" t="inlineStr">
        <is>
          <t>全員</t>
        </is>
      </c>
      <c r="C107" s="41" t="inlineStr">
        <is>
          <t>プッシュ通知</t>
        </is>
      </c>
      <c r="D107" s="41" t="inlineStr">
        <is>
          <t>返信受信・商談15分前リマインド</t>
        </is>
      </c>
      <c r="E107" s="41" t="inlineStr">
        <is>
          <t>・Web Push (VAPID)
・通知設定で粒度調整
・iOS Safari 16.4+対応</t>
        </is>
      </c>
      <c r="F107" s="41" t="inlineStr">
        <is>
          <t>/settings/notifications</t>
        </is>
      </c>
      <c r="G107" s="41" t="inlineStr">
        <is>
          <t>高</t>
        </is>
      </c>
    </row>
    <row r="108">
      <c r="A108" s="41" t="inlineStr">
        <is>
          <t>US-101</t>
        </is>
      </c>
      <c r="B108" s="41" t="inlineStr">
        <is>
          <t>全員</t>
        </is>
      </c>
      <c r="C108" s="41" t="inlineStr">
        <is>
          <t>片手UI</t>
        </is>
      </c>
      <c r="D108" s="41" t="inlineStr">
        <is>
          <t>主要アクションは画面下部</t>
        </is>
      </c>
      <c r="E108" s="41" t="inlineStr">
        <is>
          <t>・モバイルbottom_action_bar
・主要画面で適用</t>
        </is>
      </c>
      <c r="F108" s="41" t="inlineStr">
        <is>
          <t>(全モバイル)</t>
        </is>
      </c>
      <c r="G108" s="41" t="inlineStr">
        <is>
          <t>中</t>
        </is>
      </c>
    </row>
    <row r="109">
      <c r="A109" s="41" t="inlineStr">
        <is>
          <t>US-102</t>
        </is>
      </c>
      <c r="B109" s="41" t="inlineStr">
        <is>
          <t>全員</t>
        </is>
      </c>
      <c r="C109" s="41" t="inlineStr">
        <is>
          <t>個人データエクスポート</t>
        </is>
      </c>
      <c r="D109" s="41" t="inlineStr">
        <is>
          <t>CSV/JSON出力</t>
        </is>
      </c>
      <c r="E109" s="41" t="inlineStr">
        <is>
          <t>・/api/exports/personal
・GDPR-style data export
・暗号化zip</t>
        </is>
      </c>
      <c r="F109" s="41" t="inlineStr">
        <is>
          <t>/settings/export</t>
        </is>
      </c>
      <c r="G109" s="41" t="inlineStr">
        <is>
          <t>中</t>
        </is>
      </c>
    </row>
    <row r="110">
      <c r="A110" s="41" t="inlineStr">
        <is>
          <t>US-103</t>
        </is>
      </c>
      <c r="B110" s="41" t="inlineStr">
        <is>
          <t>管理者</t>
        </is>
      </c>
      <c r="C110" s="41" t="inlineStr">
        <is>
          <t>バックアップ可視化</t>
        </is>
      </c>
      <c r="D110" s="41" t="inlineStr">
        <is>
          <t>PITR状態を確認</t>
        </is>
      </c>
      <c r="E110" s="41" t="inlineStr">
        <is>
          <t>・backup_status_dashboard
・最終成功時刻+復旧可能範囲</t>
        </is>
      </c>
      <c r="F110" s="41" t="inlineStr">
        <is>
          <t>/admin/backup</t>
        </is>
      </c>
      <c r="G110" s="41" t="inlineStr">
        <is>
          <t>中</t>
        </is>
      </c>
    </row>
    <row r="111">
      <c r="A111" s="41" t="inlineStr">
        <is>
          <t>US-104</t>
        </is>
      </c>
      <c r="B111" s="41" t="inlineStr">
        <is>
          <t>設計者</t>
        </is>
      </c>
      <c r="C111" s="41" t="inlineStr">
        <is>
          <t>状態機械の可視化</t>
        </is>
      </c>
      <c r="D111" s="41" t="inlineStr">
        <is>
          <t>商談・調整の状態遷移を一覧</t>
        </is>
      </c>
      <c r="E111" s="41" t="inlineStr">
        <is>
          <t>・14_state_machinesシート
・mermaid図
・実装と乖離検知</t>
        </is>
      </c>
      <c r="F111" s="41" t="inlineStr">
        <is>
          <t>(設計書)</t>
        </is>
      </c>
      <c r="G111" s="41" t="inlineStr">
        <is>
          <t>低</t>
        </is>
      </c>
    </row>
    <row r="112">
      <c r="A112" s="41" t="inlineStr">
        <is>
          <t>US-105</t>
        </is>
      </c>
      <c r="B112" s="41" t="inlineStr">
        <is>
          <t>顧客</t>
        </is>
      </c>
      <c r="C112" s="41" t="inlineStr">
        <is>
          <t>英語UI</t>
        </is>
      </c>
      <c r="D112" s="41" t="inlineStr">
        <is>
          <t>海外顧客に英語表示</t>
        </is>
      </c>
      <c r="E112" s="41" t="inlineStr">
        <is>
          <t>・next-i18next(ja/en)
・/share/[token]はAccept-Languageで自動切替</t>
        </is>
      </c>
      <c r="F112" s="41" t="inlineStr">
        <is>
          <t>/share/[token]</t>
        </is>
      </c>
      <c r="G112" s="41" t="inlineStr">
        <is>
          <t>低</t>
        </is>
      </c>
    </row>
    <row r="113">
      <c r="A113" s="41" t="inlineStr">
        <is>
          <t>US-106</t>
        </is>
      </c>
      <c r="B113" s="41" t="inlineStr">
        <is>
          <t>全員</t>
        </is>
      </c>
      <c r="C113" s="41" t="inlineStr">
        <is>
          <t>アクセシビリティ</t>
        </is>
      </c>
      <c r="D113" s="41" t="inlineStr">
        <is>
          <t>WCAG AA準拠</t>
        </is>
      </c>
      <c r="E113" s="41" t="inlineStr">
        <is>
          <t>・キーボードナビ完全対応
・コントラスト比4.5:1+
・ARIA属性
・スクリーンリーダーテスト</t>
        </is>
      </c>
      <c r="F113" s="41" t="inlineStr">
        <is>
          <t>(全画面)</t>
        </is>
      </c>
      <c r="G113" s="41" t="inlineStr">
        <is>
          <t>中</t>
        </is>
      </c>
    </row>
    <row r="114">
      <c r="A114" s="41" t="inlineStr">
        <is>
          <t>US-107</t>
        </is>
      </c>
      <c r="B114" s="41" t="inlineStr">
        <is>
          <t>全員</t>
        </is>
      </c>
      <c r="C114" s="41" t="inlineStr">
        <is>
          <t>ブラウザ通知</t>
        </is>
      </c>
      <c r="D114" s="41" t="inlineStr">
        <is>
          <t>Service Workerでpush</t>
        </is>
      </c>
      <c r="E114" s="41" t="inlineStr">
        <is>
          <t>・VAPID鍵
・サブスク管理画面
・通知許可フロー</t>
        </is>
      </c>
      <c r="F114" s="41" t="inlineStr">
        <is>
          <t>/settings/notifications</t>
        </is>
      </c>
      <c r="G114" s="41" t="inlineStr">
        <is>
          <t>中</t>
        </is>
      </c>
    </row>
    <row r="115">
      <c r="A115" s="41" t="inlineStr">
        <is>
          <t>US-108</t>
        </is>
      </c>
      <c r="B115" s="41" t="inlineStr">
        <is>
          <t>全員</t>
        </is>
      </c>
      <c r="C115" s="41" t="inlineStr">
        <is>
          <t>リアルタイム状態同期</t>
        </is>
      </c>
      <c r="D115" s="41" t="inlineStr">
        <is>
          <t>複数デバイスの状態同期</t>
        </is>
      </c>
      <c r="E115" s="41" t="inlineStr">
        <is>
          <t>・Supabase Realtime
・meetings/drafts/notesで同期
・接続状態インジケータ</t>
        </is>
      </c>
      <c r="F115" s="41" t="inlineStr">
        <is>
          <t>(編集系全画面)</t>
        </is>
      </c>
      <c r="G115" s="41" t="inlineStr">
        <is>
          <t>中</t>
        </is>
      </c>
    </row>
    <row r="116">
      <c r="A116" s="41" t="inlineStr">
        <is>
          <t>US-109</t>
        </is>
      </c>
      <c r="B116" s="41" t="inlineStr">
        <is>
          <t>全員</t>
        </is>
      </c>
      <c r="C116" s="41" t="inlineStr">
        <is>
          <t>ヘルプセンター</t>
        </is>
      </c>
      <c r="D116" s="41" t="inlineStr">
        <is>
          <t>FAQ・問い合わせ動線</t>
        </is>
      </c>
      <c r="E116" s="41" t="inlineStr">
        <is>
          <t>・/help (FAQ)
・エラー時に問い合わせボタン
・スクリーンショット添付</t>
        </is>
      </c>
      <c r="F116" s="41" t="inlineStr">
        <is>
          <t>/help</t>
        </is>
      </c>
      <c r="G116" s="41" t="inlineStr">
        <is>
          <t>中</t>
        </is>
      </c>
    </row>
    <row r="117">
      <c r="A117" s="41" t="inlineStr">
        <is>
          <t>US-110</t>
        </is>
      </c>
      <c r="B117" s="41" t="inlineStr">
        <is>
          <t>管理者</t>
        </is>
      </c>
      <c r="C117" s="41" t="inlineStr">
        <is>
          <t>feature flags</t>
        </is>
      </c>
      <c r="D117" s="41" t="inlineStr">
        <is>
          <t>β機能の段階公開</t>
        </is>
      </c>
      <c r="E117" s="41" t="inlineStr">
        <is>
          <t>・feature_flags(percentage rollout)
・user_id hashで安定割り当て
・管理画面</t>
        </is>
      </c>
      <c r="F117" s="41" t="inlineStr">
        <is>
          <t>/admin/features</t>
        </is>
      </c>
      <c r="G117" s="41" t="inlineStr">
        <is>
          <t>中</t>
        </is>
      </c>
    </row>
    <row r="118">
      <c r="A118" s="41" t="inlineStr">
        <is>
          <t>US-111</t>
        </is>
      </c>
      <c r="B118" s="41" t="inlineStr">
        <is>
          <t>管理者</t>
        </is>
      </c>
      <c r="C118" s="41" t="inlineStr">
        <is>
          <t>A/Bテスト</t>
        </is>
      </c>
      <c r="D118" s="41" t="inlineStr">
        <is>
          <t>メールテンプレ効果測定</t>
        </is>
      </c>
      <c r="E118" s="41" t="inlineStr">
        <is>
          <t>・ab_test_assignments
・cohort split
・コンバージョン記録
・有意差判定</t>
        </is>
      </c>
      <c r="F118" s="41" t="inlineStr">
        <is>
          <t>/admin/experiments</t>
        </is>
      </c>
      <c r="G118" s="41" t="inlineStr">
        <is>
          <t>低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32" customWidth="1" style="27" min="2" max="2"/>
    <col width="14" customWidth="1" style="27" min="3" max="3"/>
    <col width="30" customWidth="1" style="27" min="4" max="4"/>
    <col width="50" customWidth="1" style="27" min="5" max="6"/>
    <col width="16" customWidth="1" style="27" min="7" max="7"/>
    <col width="10" customWidth="1" style="27" min="8" max="8"/>
    <col width="6" customWidth="1" style="27" min="9" max="9"/>
  </cols>
  <sheetData>
    <row r="1" ht="24" customHeight="1" s="28">
      <c r="A1" s="29" t="inlineStr">
        <is>
          <t>画面一覧</t>
        </is>
      </c>
    </row>
    <row r="2" ht="18" customHeight="1" s="28">
      <c r="A2" s="30" t="inlineStr">
        <is>
          <t>ルーティング・主要コンポーネント・状態管理</t>
        </is>
      </c>
    </row>
    <row r="4" ht="27.75" customHeight="1" s="28">
      <c r="A4" s="34" t="inlineStr">
        <is>
          <t>画面ID</t>
        </is>
      </c>
      <c r="B4" s="34" t="inlineStr">
        <is>
          <t>ルート</t>
        </is>
      </c>
      <c r="C4" s="34" t="inlineStr">
        <is>
          <t>種別</t>
        </is>
      </c>
      <c r="D4" s="34" t="inlineStr">
        <is>
          <t>概要</t>
        </is>
      </c>
      <c r="E4" s="34" t="inlineStr">
        <is>
          <t>主要コンポーネント</t>
        </is>
      </c>
      <c r="F4" s="34" t="inlineStr">
        <is>
          <t>主要API</t>
        </is>
      </c>
      <c r="G4" s="34" t="inlineStr">
        <is>
          <t>認証</t>
        </is>
      </c>
      <c r="H4" s="34" t="inlineStr">
        <is>
          <t>モバイル</t>
        </is>
      </c>
      <c r="I4" s="37" t="inlineStr">
        <is>
          <t>Phase</t>
        </is>
      </c>
    </row>
    <row r="5" ht="15" customHeight="1" s="28">
      <c r="A5" s="35" t="inlineStr">
        <is>
          <t>SC-01</t>
        </is>
      </c>
      <c r="B5" s="35" t="inlineStr">
        <is>
          <t>/login</t>
        </is>
      </c>
      <c r="C5" s="36" t="inlineStr">
        <is>
          <t>認証</t>
        </is>
      </c>
      <c r="D5" s="36" t="inlineStr">
        <is>
          <t>ログイン画面(Google OAuth)</t>
        </is>
      </c>
      <c r="E5" s="35" t="inlineStr">
        <is>
          <t>GoogleSignInButton</t>
        </is>
      </c>
      <c r="F5" s="35" t="inlineStr">
        <is>
          <t>Supabase Auth</t>
        </is>
      </c>
      <c r="G5" s="36" t="inlineStr">
        <is>
          <t>不要</t>
        </is>
      </c>
      <c r="H5" s="36" t="inlineStr">
        <is>
          <t>対応</t>
        </is>
      </c>
      <c r="I5" s="42" t="inlineStr">
        <is>
          <t>P1</t>
        </is>
      </c>
    </row>
    <row r="6" ht="29.85" customHeight="1" s="28">
      <c r="A6" s="35" t="inlineStr">
        <is>
          <t>SC-02</t>
        </is>
      </c>
      <c r="B6" s="35" t="inlineStr">
        <is>
          <t>/onboarding</t>
        </is>
      </c>
      <c r="C6" s="36" t="inlineStr">
        <is>
          <t>初回設定</t>
        </is>
      </c>
      <c r="D6" s="35" t="inlineStr">
        <is>
          <t>OAuthスコープ取得・Zoom連携・タイムゾーン設定</t>
        </is>
      </c>
      <c r="E6" s="35" t="inlineStr">
        <is>
          <t>OAuthScopeStep, ZoomConnectStep, ProfileStep</t>
        </is>
      </c>
      <c r="F6" s="35" t="inlineStr">
        <is>
          <t>/api/oauth/scopes, /api/zoom/connect</t>
        </is>
      </c>
      <c r="G6" s="36" t="inlineStr">
        <is>
          <t>必要</t>
        </is>
      </c>
      <c r="H6" s="36" t="inlineStr">
        <is>
          <t>対応</t>
        </is>
      </c>
      <c r="I6" s="42" t="inlineStr">
        <is>
          <t>P1</t>
        </is>
      </c>
    </row>
    <row r="7" ht="15" customHeight="1" s="28">
      <c r="A7" s="35" t="inlineStr">
        <is>
          <t>SC-03</t>
        </is>
      </c>
      <c r="B7" s="35" t="inlineStr">
        <is>
          <t>/dashboard</t>
        </is>
      </c>
      <c r="C7" s="36" t="inlineStr">
        <is>
          <t>ダッシュボード</t>
        </is>
      </c>
      <c r="D7" s="36" t="inlineStr">
        <is>
          <t>個人TODO・最近の商談・通知</t>
        </is>
      </c>
      <c r="E7" s="35" t="inlineStr">
        <is>
          <t>TodoList, RecentMeetings, NotificationFeed</t>
        </is>
      </c>
      <c r="F7" s="35" t="inlineStr">
        <is>
          <t>/api/dashboard</t>
        </is>
      </c>
      <c r="G7" s="36" t="inlineStr">
        <is>
          <t>必要</t>
        </is>
      </c>
      <c r="H7" s="36" t="inlineStr">
        <is>
          <t>対応</t>
        </is>
      </c>
      <c r="I7" s="42" t="inlineStr">
        <is>
          <t>P1</t>
        </is>
      </c>
    </row>
    <row r="8" ht="15" customHeight="1" s="28">
      <c r="A8" s="35" t="inlineStr">
        <is>
          <t>SC-04</t>
        </is>
      </c>
      <c r="B8" s="35" t="inlineStr">
        <is>
          <t>/contacts</t>
        </is>
      </c>
      <c r="C8" s="36" t="inlineStr">
        <is>
          <t>一覧</t>
        </is>
      </c>
      <c r="D8" s="36" t="inlineStr">
        <is>
          <t>コンタクト一覧(検索/フィルタ)</t>
        </is>
      </c>
      <c r="E8" s="35" t="inlineStr">
        <is>
          <t>ContactsTable, FilterBar, BulkActions</t>
        </is>
      </c>
      <c r="F8" s="35" t="inlineStr">
        <is>
          <t>/api/contacts</t>
        </is>
      </c>
      <c r="G8" s="36" t="inlineStr">
        <is>
          <t>必要</t>
        </is>
      </c>
      <c r="H8" s="36" t="inlineStr">
        <is>
          <t>対応</t>
        </is>
      </c>
      <c r="I8" s="42" t="inlineStr">
        <is>
          <t>P1</t>
        </is>
      </c>
    </row>
    <row r="9" ht="29.85" customHeight="1" s="28">
      <c r="A9" s="35" t="inlineStr">
        <is>
          <t>SC-05</t>
        </is>
      </c>
      <c r="B9" s="35" t="inlineStr">
        <is>
          <t>/contacts/[id]</t>
        </is>
      </c>
      <c r="C9" s="36" t="inlineStr">
        <is>
          <t>詳細</t>
        </is>
      </c>
      <c r="D9" s="36" t="inlineStr">
        <is>
          <t>コンタクト詳細・商談履歴・メール履歴</t>
        </is>
      </c>
      <c r="E9" s="35" t="inlineStr">
        <is>
          <t>ContactProfile, MeetingsTab, EmailsTab, NotesTab</t>
        </is>
      </c>
      <c r="F9" s="35" t="inlineStr">
        <is>
          <t>/api/contacts/[id]</t>
        </is>
      </c>
      <c r="G9" s="36" t="inlineStr">
        <is>
          <t>必要</t>
        </is>
      </c>
      <c r="H9" s="36" t="inlineStr">
        <is>
          <t>対応</t>
        </is>
      </c>
      <c r="I9" s="42" t="inlineStr">
        <is>
          <t>P1</t>
        </is>
      </c>
    </row>
    <row r="10" ht="15" customHeight="1" s="28">
      <c r="A10" s="35" t="inlineStr">
        <is>
          <t>SC-06</t>
        </is>
      </c>
      <c r="B10" s="35" t="inlineStr">
        <is>
          <t>/contacts/import</t>
        </is>
      </c>
      <c r="C10" s="36" t="inlineStr">
        <is>
          <t>取り込み</t>
        </is>
      </c>
      <c r="D10" s="35" t="inlineStr">
        <is>
          <t>PC用一括名刺アップロード</t>
        </is>
      </c>
      <c r="E10" s="35" t="inlineStr">
        <is>
          <t>MultiFileDropzone, OCRProgressList, ReviewQueue</t>
        </is>
      </c>
      <c r="F10" s="35" t="inlineStr">
        <is>
          <t>/api/ocr/business-card (POST)</t>
        </is>
      </c>
      <c r="G10" s="36" t="inlineStr">
        <is>
          <t>必要</t>
        </is>
      </c>
      <c r="H10" s="36" t="inlineStr">
        <is>
          <t>一部</t>
        </is>
      </c>
      <c r="I10" s="42" t="inlineStr">
        <is>
          <t>P1</t>
        </is>
      </c>
    </row>
    <row r="11" ht="29.85" customHeight="1" s="28">
      <c r="A11" s="35" t="inlineStr">
        <is>
          <t>SC-07</t>
        </is>
      </c>
      <c r="B11" s="35" t="inlineStr">
        <is>
          <t>/mobile/scan</t>
        </is>
      </c>
      <c r="C11" s="36" t="inlineStr">
        <is>
          <t>モバイル取り込み</t>
        </is>
      </c>
      <c r="D11" s="36" t="inlineStr">
        <is>
          <t>スマホでの連続名刺撮影</t>
        </is>
      </c>
      <c r="E11" s="35" t="inlineStr">
        <is>
          <t>CameraView, AutoCropPreview, QuickReview</t>
        </is>
      </c>
      <c r="F11" s="35" t="inlineStr">
        <is>
          <t>/api/ocr/business-card</t>
        </is>
      </c>
      <c r="G11" s="36" t="inlineStr">
        <is>
          <t>必要</t>
        </is>
      </c>
      <c r="H11" s="36" t="inlineStr">
        <is>
          <t>専用</t>
        </is>
      </c>
      <c r="I11" s="42" t="inlineStr">
        <is>
          <t>P1</t>
        </is>
      </c>
    </row>
    <row r="12" ht="29.85" customHeight="1" s="28">
      <c r="A12" s="35" t="inlineStr">
        <is>
          <t>SC-08</t>
        </is>
      </c>
      <c r="B12" s="35" t="inlineStr">
        <is>
          <t>/contacts/[id]/review</t>
        </is>
      </c>
      <c r="C12" s="36" t="inlineStr">
        <is>
          <t>取り込みレビュー</t>
        </is>
      </c>
      <c r="D12" s="35" t="inlineStr">
        <is>
          <t>OCR結果のフィールド編集と重複マージ</t>
        </is>
      </c>
      <c r="E12" s="35" t="inlineStr">
        <is>
          <t>EditableFieldList, DuplicateMergeBanner, RawOCRViewer</t>
        </is>
      </c>
      <c r="F12" s="35" t="inlineStr">
        <is>
          <t>/api/contacts/[id], /api/contacts/duplicates</t>
        </is>
      </c>
      <c r="G12" s="36" t="inlineStr">
        <is>
          <t>必要</t>
        </is>
      </c>
      <c r="H12" s="36" t="inlineStr">
        <is>
          <t>対応</t>
        </is>
      </c>
      <c r="I12" s="42" t="inlineStr">
        <is>
          <t>P1</t>
        </is>
      </c>
    </row>
    <row r="13" ht="15" customHeight="1" s="28">
      <c r="A13" s="35" t="inlineStr">
        <is>
          <t>SC-09</t>
        </is>
      </c>
      <c r="B13" s="35" t="inlineStr">
        <is>
          <t>/meetings</t>
        </is>
      </c>
      <c r="C13" s="36" t="inlineStr">
        <is>
          <t>一覧</t>
        </is>
      </c>
      <c r="D13" s="36" t="inlineStr">
        <is>
          <t>商談一覧(Kanban/List切替)</t>
        </is>
      </c>
      <c r="E13" s="35" t="inlineStr">
        <is>
          <t>MeetingsKanban, MeetingsTable, StageFilter</t>
        </is>
      </c>
      <c r="F13" s="35" t="inlineStr">
        <is>
          <t>/api/meetings</t>
        </is>
      </c>
      <c r="G13" s="36" t="inlineStr">
        <is>
          <t>必要</t>
        </is>
      </c>
      <c r="H13" s="36" t="inlineStr">
        <is>
          <t>対応</t>
        </is>
      </c>
      <c r="I13" s="42" t="inlineStr">
        <is>
          <t>P1</t>
        </is>
      </c>
    </row>
    <row r="14" ht="23.85" customHeight="1" s="28">
      <c r="A14" s="35" t="inlineStr">
        <is>
          <t>SC-10</t>
        </is>
      </c>
      <c r="B14" s="35" t="inlineStr">
        <is>
          <t>/meetings/new</t>
        </is>
      </c>
      <c r="C14" s="36" t="inlineStr">
        <is>
          <t>新規作成</t>
        </is>
      </c>
      <c r="D14" s="36" t="inlineStr">
        <is>
          <t>商談作成・日程調整起動</t>
        </is>
      </c>
      <c r="E14" s="35" t="inlineStr">
        <is>
          <t>ContactPicker, AttendeesPicker, EmailTemplatePicker, AvailabilityPreview</t>
        </is>
      </c>
      <c r="F14" s="35" t="inlineStr">
        <is>
          <t>/api/availability, /api/scheduling/start</t>
        </is>
      </c>
      <c r="G14" s="36" t="inlineStr">
        <is>
          <t>必要</t>
        </is>
      </c>
      <c r="H14" s="36" t="inlineStr">
        <is>
          <t>対応</t>
        </is>
      </c>
      <c r="I14" s="43" t="inlineStr">
        <is>
          <t>P2</t>
        </is>
      </c>
    </row>
    <row r="15" ht="26.85" customHeight="1" s="28">
      <c r="A15" s="35" t="inlineStr">
        <is>
          <t>SC-11</t>
        </is>
      </c>
      <c r="B15" s="35" t="inlineStr">
        <is>
          <t>/meetings/[id]</t>
        </is>
      </c>
      <c r="C15" s="36" t="inlineStr">
        <is>
          <t>詳細</t>
        </is>
      </c>
      <c r="D15" s="36" t="inlineStr">
        <is>
          <t>商談詳細(録画/文字起こし/抽出/メモ)</t>
        </is>
      </c>
      <c r="E15" s="35" t="inlineStr">
        <is>
          <t>MeetingHeader, RecordingPlayer, TranscriptTimeline, ExtractedInsights, ManualNotes, CommitmentsList</t>
        </is>
      </c>
      <c r="F15" s="35" t="inlineStr">
        <is>
          <t>/api/meetings/[id], /api/recordings/[id]</t>
        </is>
      </c>
      <c r="G15" s="36" t="inlineStr">
        <is>
          <t>必要</t>
        </is>
      </c>
      <c r="H15" s="36" t="inlineStr">
        <is>
          <t>対応</t>
        </is>
      </c>
      <c r="I15" s="42" t="inlineStr">
        <is>
          <t>P1</t>
        </is>
      </c>
    </row>
    <row r="16" ht="15" customHeight="1" s="28">
      <c r="A16" s="35" t="inlineStr">
        <is>
          <t>SC-12</t>
        </is>
      </c>
      <c r="B16" s="35" t="inlineStr">
        <is>
          <t>/meetings/[id]/live-notes</t>
        </is>
      </c>
      <c r="C16" s="36" t="inlineStr">
        <is>
          <t>ライブメモ</t>
        </is>
      </c>
      <c r="D16" s="36" t="inlineStr">
        <is>
          <t>商談中のタイムスタンプ付きメモ</t>
        </is>
      </c>
      <c r="E16" s="35" t="inlineStr">
        <is>
          <t>TimestampedNotePad, AutoSaveIndicator</t>
        </is>
      </c>
      <c r="F16" s="35" t="inlineStr">
        <is>
          <t>/api/meetings/[id]/notes</t>
        </is>
      </c>
      <c r="G16" s="36" t="inlineStr">
        <is>
          <t>必要</t>
        </is>
      </c>
      <c r="H16" s="36" t="inlineStr">
        <is>
          <t>対応</t>
        </is>
      </c>
      <c r="I16" s="43" t="inlineStr">
        <is>
          <t>P2</t>
        </is>
      </c>
    </row>
    <row r="17" ht="29.85" customHeight="1" s="28">
      <c r="A17" s="35" t="inlineStr">
        <is>
          <t>SC-13</t>
        </is>
      </c>
      <c r="B17" s="35" t="inlineStr">
        <is>
          <t>/email-drafts/[id]</t>
        </is>
      </c>
      <c r="C17" s="36" t="inlineStr">
        <is>
          <t>メールドラフト確認</t>
        </is>
      </c>
      <c r="D17" s="36" t="inlineStr">
        <is>
          <t>送信前ドラフト編集</t>
        </is>
      </c>
      <c r="E17" s="35" t="inlineStr">
        <is>
          <t>DraftEditor, RecipientList, ScheduleSlotsPreview, SendButton</t>
        </is>
      </c>
      <c r="F17" s="35" t="inlineStr">
        <is>
          <t>/api/email-drafts/[id], /api/email-drafts/[id]/send</t>
        </is>
      </c>
      <c r="G17" s="36" t="inlineStr">
        <is>
          <t>必要</t>
        </is>
      </c>
      <c r="H17" s="36" t="inlineStr">
        <is>
          <t>対応</t>
        </is>
      </c>
      <c r="I17" s="43" t="inlineStr">
        <is>
          <t>P2</t>
        </is>
      </c>
    </row>
    <row r="18" ht="29.85" customHeight="1" s="28">
      <c r="A18" s="35" t="inlineStr">
        <is>
          <t>SC-14</t>
        </is>
      </c>
      <c r="B18" s="35" t="inlineStr">
        <is>
          <t>/scheduling/inbox</t>
        </is>
      </c>
      <c r="C18" s="36" t="inlineStr">
        <is>
          <t>日程調整インボックス</t>
        </is>
      </c>
      <c r="D18" s="36" t="inlineStr">
        <is>
          <t>パース確認待ち一覧</t>
        </is>
      </c>
      <c r="E18" s="35" t="inlineStr">
        <is>
          <t>PendingParseList, ProposedSlotsViewer, ManualResolveDialog</t>
        </is>
      </c>
      <c r="F18" s="35" t="inlineStr">
        <is>
          <t>/api/scheduling/pending</t>
        </is>
      </c>
      <c r="G18" s="36" t="inlineStr">
        <is>
          <t>必要</t>
        </is>
      </c>
      <c r="H18" s="36" t="inlineStr">
        <is>
          <t>対応</t>
        </is>
      </c>
      <c r="I18" s="43" t="inlineStr">
        <is>
          <t>P2</t>
        </is>
      </c>
    </row>
    <row r="19" ht="15" customHeight="1" s="28">
      <c r="A19" s="35" t="inlineStr">
        <is>
          <t>SC-15</t>
        </is>
      </c>
      <c r="B19" s="35" t="inlineStr">
        <is>
          <t>/recordings</t>
        </is>
      </c>
      <c r="C19" s="36" t="inlineStr">
        <is>
          <t>録画一覧</t>
        </is>
      </c>
      <c r="D19" s="36" t="inlineStr">
        <is>
          <t>全社録画ライブラリ</t>
        </is>
      </c>
      <c r="E19" s="35" t="inlineStr">
        <is>
          <t>RecordingsGrid, SearchBar, FilterChips</t>
        </is>
      </c>
      <c r="F19" s="35" t="inlineStr">
        <is>
          <t>/api/recordings</t>
        </is>
      </c>
      <c r="G19" s="36" t="inlineStr">
        <is>
          <t>必要</t>
        </is>
      </c>
      <c r="H19" s="36" t="inlineStr">
        <is>
          <t>対応</t>
        </is>
      </c>
      <c r="I19" s="42" t="inlineStr">
        <is>
          <t>P1</t>
        </is>
      </c>
    </row>
    <row r="20" ht="15" customHeight="1" s="28">
      <c r="A20" s="35" t="inlineStr">
        <is>
          <t>SC-16</t>
        </is>
      </c>
      <c r="B20" s="35" t="inlineStr">
        <is>
          <t>/recordings/[id]</t>
        </is>
      </c>
      <c r="C20" s="36" t="inlineStr">
        <is>
          <t>録画詳細</t>
        </is>
      </c>
      <c r="D20" s="36" t="inlineStr">
        <is>
          <t>動画+文字起こし+クリップ生成</t>
        </is>
      </c>
      <c r="E20" s="35" t="inlineStr">
        <is>
          <t>VideoPlayer, SyncedTranscript, ClipCreator, ShareDialog</t>
        </is>
      </c>
      <c r="F20" s="35" t="inlineStr">
        <is>
          <t>/api/recordings/[id], /api/clips</t>
        </is>
      </c>
      <c r="G20" s="36" t="inlineStr">
        <is>
          <t>必要</t>
        </is>
      </c>
      <c r="H20" s="36" t="inlineStr">
        <is>
          <t>対応</t>
        </is>
      </c>
      <c r="I20" s="42" t="inlineStr">
        <is>
          <t>P1</t>
        </is>
      </c>
    </row>
    <row r="21" ht="29.85" customHeight="1" s="28">
      <c r="A21" s="35" t="inlineStr">
        <is>
          <t>SC-17</t>
        </is>
      </c>
      <c r="B21" s="35" t="inlineStr">
        <is>
          <t>/search</t>
        </is>
      </c>
      <c r="C21" s="36" t="inlineStr">
        <is>
          <t>横断検索</t>
        </is>
      </c>
      <c r="D21" s="36" t="inlineStr">
        <is>
          <t>ナレッジ・録画・コンタクト統合検索</t>
        </is>
      </c>
      <c r="E21" s="35" t="inlineStr">
        <is>
          <t>SearchBar, FacetFilter, ResultGroupList(録画/資料/メモ)</t>
        </is>
      </c>
      <c r="F21" s="35" t="inlineStr">
        <is>
          <t>/api/search (hybrid: BM25+vector)</t>
        </is>
      </c>
      <c r="G21" s="36" t="inlineStr">
        <is>
          <t>必要</t>
        </is>
      </c>
      <c r="H21" s="36" t="inlineStr">
        <is>
          <t>対応</t>
        </is>
      </c>
      <c r="I21" s="42" t="inlineStr">
        <is>
          <t>P1</t>
        </is>
      </c>
    </row>
    <row r="22" ht="29.85" customHeight="1" s="28">
      <c r="A22" s="35" t="inlineStr">
        <is>
          <t>SC-18</t>
        </is>
      </c>
      <c r="B22" s="35" t="inlineStr">
        <is>
          <t>/knowledge</t>
        </is>
      </c>
      <c r="C22" s="36" t="inlineStr">
        <is>
          <t>ナレッジチャット</t>
        </is>
      </c>
      <c r="D22" s="35" t="inlineStr">
        <is>
          <t>AIアシスタントへの質問</t>
        </is>
      </c>
      <c r="E22" s="35" t="inlineStr">
        <is>
          <t>ChatInterface, SourcesPanel, FeedbackButtons</t>
        </is>
      </c>
      <c r="F22" s="35" t="inlineStr">
        <is>
          <t>/api/chat (streaming)</t>
        </is>
      </c>
      <c r="G22" s="36" t="inlineStr">
        <is>
          <t>必要</t>
        </is>
      </c>
      <c r="H22" s="36" t="inlineStr">
        <is>
          <t>対応</t>
        </is>
      </c>
      <c r="I22" s="44" t="inlineStr">
        <is>
          <t>P3</t>
        </is>
      </c>
    </row>
    <row r="23" ht="29.85" customHeight="1" s="28">
      <c r="A23" s="35" t="inlineStr">
        <is>
          <t>SC-19</t>
        </is>
      </c>
      <c r="B23" s="35" t="inlineStr">
        <is>
          <t>/knowledge/library</t>
        </is>
      </c>
      <c r="C23" s="36" t="inlineStr">
        <is>
          <t>ナレッジライブラリ</t>
        </is>
      </c>
      <c r="D23" s="36" t="inlineStr">
        <is>
          <t>資料・FAQ一覧と管理</t>
        </is>
      </c>
      <c r="E23" s="35" t="inlineStr">
        <is>
          <t>KnowledgeGrid, UploadButton, TagFilter, AIDescriptionEditor</t>
        </is>
      </c>
      <c r="F23" s="35" t="inlineStr">
        <is>
          <t>/api/knowledge</t>
        </is>
      </c>
      <c r="G23" s="36" t="inlineStr">
        <is>
          <t>必要</t>
        </is>
      </c>
      <c r="H23" s="36" t="inlineStr">
        <is>
          <t>対応</t>
        </is>
      </c>
      <c r="I23" s="43" t="inlineStr">
        <is>
          <t>P2</t>
        </is>
      </c>
    </row>
    <row r="24" ht="15" customHeight="1" s="28">
      <c r="A24" s="35" t="inlineStr">
        <is>
          <t>SC-20</t>
        </is>
      </c>
      <c r="B24" s="35" t="inlineStr">
        <is>
          <t>/roleplay</t>
        </is>
      </c>
      <c r="C24" s="36" t="inlineStr">
        <is>
          <t>ロープレ一覧</t>
        </is>
      </c>
      <c r="D24" s="36" t="inlineStr">
        <is>
          <t>シナリオ選択画面</t>
        </is>
      </c>
      <c r="E24" s="35" t="inlineStr">
        <is>
          <t>ScenarioGrid, DifficultyFilter, MyHistory</t>
        </is>
      </c>
      <c r="F24" s="35" t="inlineStr">
        <is>
          <t>/api/roleplay/scenarios</t>
        </is>
      </c>
      <c r="G24" s="36" t="inlineStr">
        <is>
          <t>必要</t>
        </is>
      </c>
      <c r="H24" s="36" t="inlineStr">
        <is>
          <t>対応</t>
        </is>
      </c>
      <c r="I24" s="44" t="inlineStr">
        <is>
          <t>P3</t>
        </is>
      </c>
    </row>
    <row r="25" ht="23.85" customHeight="1" s="28">
      <c r="A25" s="35" t="inlineStr">
        <is>
          <t>SC-21</t>
        </is>
      </c>
      <c r="B25" s="35" t="inlineStr">
        <is>
          <t>/roleplay/[id]</t>
        </is>
      </c>
      <c r="C25" s="36" t="inlineStr">
        <is>
          <t>ロープレ実施</t>
        </is>
      </c>
      <c r="D25" s="36" t="inlineStr">
        <is>
          <t>顧客役AIとの対話</t>
        </is>
      </c>
      <c r="E25" s="35" t="inlineStr">
        <is>
          <t>ChatInterface, PersonaCard, EndSessionButton, FeedbackPanel</t>
        </is>
      </c>
      <c r="F25" s="35" t="inlineStr">
        <is>
          <t>/api/roleplay/sessions, /api/roleplay/sessions/[id]/turns</t>
        </is>
      </c>
      <c r="G25" s="36" t="inlineStr">
        <is>
          <t>必要</t>
        </is>
      </c>
      <c r="H25" s="36" t="inlineStr">
        <is>
          <t>対応</t>
        </is>
      </c>
      <c r="I25" s="44" t="inlineStr">
        <is>
          <t>P3</t>
        </is>
      </c>
    </row>
    <row r="26" ht="15" customHeight="1" s="28">
      <c r="A26" s="35" t="inlineStr">
        <is>
          <t>SC-22</t>
        </is>
      </c>
      <c r="B26" s="35" t="inlineStr">
        <is>
          <t>/roleplay/[id]?mode=voice</t>
        </is>
      </c>
      <c r="C26" s="36" t="inlineStr">
        <is>
          <t>ロープレ音声</t>
        </is>
      </c>
      <c r="D26" s="36" t="inlineStr">
        <is>
          <t>音声でのロープレ</t>
        </is>
      </c>
      <c r="E26" s="35" t="inlineStr">
        <is>
          <t>VoiceInput(WebSpeech), VoiceOutput(TTS), Transcript</t>
        </is>
      </c>
      <c r="F26" s="35" t="inlineStr">
        <is>
          <t>/api/roleplay/voice</t>
        </is>
      </c>
      <c r="G26" s="36" t="inlineStr">
        <is>
          <t>必要</t>
        </is>
      </c>
      <c r="H26" s="36" t="inlineStr">
        <is>
          <t>対応</t>
        </is>
      </c>
      <c r="I26" s="44" t="inlineStr">
        <is>
          <t>P3</t>
        </is>
      </c>
    </row>
    <row r="27" ht="15" customHeight="1" s="28">
      <c r="A27" s="35" t="inlineStr">
        <is>
          <t>SC-23</t>
        </is>
      </c>
      <c r="B27" s="35" t="inlineStr">
        <is>
          <t>/handoffs/new</t>
        </is>
      </c>
      <c r="C27" s="36" t="inlineStr">
        <is>
          <t>引き継ぎ作成</t>
        </is>
      </c>
      <c r="D27" s="36" t="inlineStr">
        <is>
          <t>営業→CS引き継ぎ書作成</t>
        </is>
      </c>
      <c r="E27" s="35" t="inlineStr">
        <is>
          <t>HandoffForm(自動充填), ApprovalFlow</t>
        </is>
      </c>
      <c r="F27" s="35" t="inlineStr">
        <is>
          <t>/api/handoffs</t>
        </is>
      </c>
      <c r="G27" s="36" t="inlineStr">
        <is>
          <t>必要</t>
        </is>
      </c>
      <c r="H27" s="36" t="inlineStr">
        <is>
          <t>対応</t>
        </is>
      </c>
      <c r="I27" s="43" t="inlineStr">
        <is>
          <t>P2</t>
        </is>
      </c>
    </row>
    <row r="28" ht="15" customHeight="1" s="28">
      <c r="A28" s="35" t="inlineStr">
        <is>
          <t>SC-24</t>
        </is>
      </c>
      <c r="B28" s="35" t="inlineStr">
        <is>
          <t>/contracts/[id]</t>
        </is>
      </c>
      <c r="C28" s="36" t="inlineStr">
        <is>
          <t>契約詳細</t>
        </is>
      </c>
      <c r="D28" s="36" t="inlineStr">
        <is>
          <t>契約情報と関連商談・約束事</t>
        </is>
      </c>
      <c r="E28" s="35" t="inlineStr">
        <is>
          <t>ContractInfo, RelatedMeetings, CommitmentsList</t>
        </is>
      </c>
      <c r="F28" s="35" t="inlineStr">
        <is>
          <t>/api/contracts/[id]</t>
        </is>
      </c>
      <c r="G28" s="36" t="inlineStr">
        <is>
          <t>必要</t>
        </is>
      </c>
      <c r="H28" s="36" t="inlineStr">
        <is>
          <t>対応</t>
        </is>
      </c>
      <c r="I28" s="43" t="inlineStr">
        <is>
          <t>P2</t>
        </is>
      </c>
    </row>
    <row r="29" ht="26.85" customHeight="1" s="28">
      <c r="A29" s="35" t="inlineStr">
        <is>
          <t>SC-25</t>
        </is>
      </c>
      <c r="B29" s="35" t="inlineStr">
        <is>
          <t>/dashboard/manager</t>
        </is>
      </c>
      <c r="C29" s="36" t="inlineStr">
        <is>
          <t>マネージャーDB</t>
        </is>
      </c>
      <c r="D29" s="36" t="inlineStr">
        <is>
          <t>パイプライン/AI診断</t>
        </is>
      </c>
      <c r="E29" s="35" t="inlineStr">
        <is>
          <t>PipelineFunnel, TeamScoreboard, AIInsights</t>
        </is>
      </c>
      <c r="F29" s="35" t="inlineStr">
        <is>
          <t>/api/dashboard/manager</t>
        </is>
      </c>
      <c r="G29" s="36" t="inlineStr">
        <is>
          <t>必要(role=manager)</t>
        </is>
      </c>
      <c r="H29" s="36" t="inlineStr">
        <is>
          <t>対応</t>
        </is>
      </c>
      <c r="I29" s="44" t="inlineStr">
        <is>
          <t>P3</t>
        </is>
      </c>
    </row>
    <row r="30" ht="29.85" customHeight="1" s="28">
      <c r="A30" s="35" t="inlineStr">
        <is>
          <t>SC-26</t>
        </is>
      </c>
      <c r="B30" s="35" t="inlineStr">
        <is>
          <t>/team/roleplay</t>
        </is>
      </c>
      <c r="C30" s="36" t="inlineStr">
        <is>
          <t>チームロープレ</t>
        </is>
      </c>
      <c r="D30" s="36" t="inlineStr">
        <is>
          <t>メンバーのセッション閲覧&amp;コーチング</t>
        </is>
      </c>
      <c r="E30" s="35" t="inlineStr">
        <is>
          <t>MemberSessionList, CoachingCommentBox</t>
        </is>
      </c>
      <c r="F30" s="35" t="inlineStr">
        <is>
          <t>/api/team/roleplay</t>
        </is>
      </c>
      <c r="G30" s="36" t="inlineStr">
        <is>
          <t>必要(role=manager)</t>
        </is>
      </c>
      <c r="H30" s="36" t="inlineStr">
        <is>
          <t>対応</t>
        </is>
      </c>
      <c r="I30" s="44" t="inlineStr">
        <is>
          <t>P3</t>
        </is>
      </c>
    </row>
    <row r="31" ht="15" customHeight="1" s="28">
      <c r="A31" s="35" t="inlineStr">
        <is>
          <t>SC-27</t>
        </is>
      </c>
      <c r="B31" s="35" t="inlineStr">
        <is>
          <t>/admin/users</t>
        </is>
      </c>
      <c r="C31" s="36" t="inlineStr">
        <is>
          <t>ユーザー管理</t>
        </is>
      </c>
      <c r="D31" s="36" t="inlineStr">
        <is>
          <t>メンバー招待・無効化</t>
        </is>
      </c>
      <c r="E31" s="35" t="inlineStr">
        <is>
          <t>UserTable, InviteDialog, OffboardingDialog</t>
        </is>
      </c>
      <c r="F31" s="35" t="inlineStr">
        <is>
          <t>/api/admin/users</t>
        </is>
      </c>
      <c r="G31" s="36" t="inlineStr">
        <is>
          <t>必要(role=admin)</t>
        </is>
      </c>
      <c r="H31" s="36" t="inlineStr">
        <is>
          <t>対応</t>
        </is>
      </c>
      <c r="I31" s="42" t="inlineStr">
        <is>
          <t>P1</t>
        </is>
      </c>
    </row>
    <row r="32" ht="15" customHeight="1" s="28">
      <c r="A32" s="35" t="inlineStr">
        <is>
          <t>SC-28</t>
        </is>
      </c>
      <c r="B32" s="35" t="inlineStr">
        <is>
          <t>/admin/audit</t>
        </is>
      </c>
      <c r="C32" s="36" t="inlineStr">
        <is>
          <t>監査ログ</t>
        </is>
      </c>
      <c r="D32" s="36" t="inlineStr">
        <is>
          <t>操作ログ閲覧</t>
        </is>
      </c>
      <c r="E32" s="35" t="inlineStr">
        <is>
          <t>AuditLogTable, FilterBar, ExportButton</t>
        </is>
      </c>
      <c r="F32" s="35" t="inlineStr">
        <is>
          <t>/api/admin/audit</t>
        </is>
      </c>
      <c r="G32" s="36" t="inlineStr">
        <is>
          <t>必要(role=admin)</t>
        </is>
      </c>
      <c r="H32" s="36" t="inlineStr">
        <is>
          <t>対応</t>
        </is>
      </c>
      <c r="I32" s="43" t="inlineStr">
        <is>
          <t>P2</t>
        </is>
      </c>
    </row>
    <row r="33" ht="15" customHeight="1" s="28">
      <c r="A33" s="35" t="inlineStr">
        <is>
          <t>SC-29</t>
        </is>
      </c>
      <c r="B33" s="35" t="inlineStr">
        <is>
          <t>/admin/usage</t>
        </is>
      </c>
      <c r="C33" s="36" t="inlineStr">
        <is>
          <t>コスト管理</t>
        </is>
      </c>
      <c r="D33" s="35" t="inlineStr">
        <is>
          <t>API使用量と上限</t>
        </is>
      </c>
      <c r="E33" s="35" t="inlineStr">
        <is>
          <t>UsageChart, LimitConfig, AlertHistory</t>
        </is>
      </c>
      <c r="F33" s="35" t="inlineStr">
        <is>
          <t>/api/admin/usage</t>
        </is>
      </c>
      <c r="G33" s="36" t="inlineStr">
        <is>
          <t>必要(role=admin)</t>
        </is>
      </c>
      <c r="H33" s="36" t="inlineStr">
        <is>
          <t>対応</t>
        </is>
      </c>
      <c r="I33" s="44" t="inlineStr">
        <is>
          <t>P3</t>
        </is>
      </c>
    </row>
    <row r="34" ht="29.85" customHeight="1" s="28">
      <c r="A34" s="35" t="inlineStr">
        <is>
          <t>SC-30</t>
        </is>
      </c>
      <c r="B34" s="35" t="inlineStr">
        <is>
          <t>/admin/knowledge</t>
        </is>
      </c>
      <c r="C34" s="36" t="inlineStr">
        <is>
          <t>ナレッジレビュー</t>
        </is>
      </c>
      <c r="D34" s="35" t="inlineStr">
        <is>
          <t>AI抽出結果の承認</t>
        </is>
      </c>
      <c r="E34" s="35" t="inlineStr">
        <is>
          <t>ReviewQueue, BulkApprove</t>
        </is>
      </c>
      <c r="F34" s="35" t="inlineStr">
        <is>
          <t>/api/admin/knowledge/queue</t>
        </is>
      </c>
      <c r="G34" s="36" t="inlineStr">
        <is>
          <t>必要(role=manager)</t>
        </is>
      </c>
      <c r="H34" s="36" t="inlineStr">
        <is>
          <t>対応</t>
        </is>
      </c>
      <c r="I34" s="43" t="inlineStr">
        <is>
          <t>P2</t>
        </is>
      </c>
    </row>
    <row r="35" ht="15" customHeight="1" s="28">
      <c r="A35" s="35" t="inlineStr">
        <is>
          <t>SC-31</t>
        </is>
      </c>
      <c r="B35" s="35" t="inlineStr">
        <is>
          <t>/share/[token]</t>
        </is>
      </c>
      <c r="C35" s="36" t="inlineStr">
        <is>
          <t>共有閲覧</t>
        </is>
      </c>
      <c r="D35" s="36" t="inlineStr">
        <is>
          <t>期限付き共有リンク表示</t>
        </is>
      </c>
      <c r="E35" s="35" t="inlineStr">
        <is>
          <t>SharedContentViewer, AccessLogger</t>
        </is>
      </c>
      <c r="F35" s="35" t="inlineStr">
        <is>
          <t>/api/share/[token]</t>
        </is>
      </c>
      <c r="G35" s="36" t="inlineStr">
        <is>
          <t>不要(token認証)</t>
        </is>
      </c>
      <c r="H35" s="36" t="inlineStr">
        <is>
          <t>対応</t>
        </is>
      </c>
      <c r="I35" s="43" t="inlineStr">
        <is>
          <t>P2</t>
        </is>
      </c>
    </row>
    <row r="36" ht="15" customHeight="1" s="28">
      <c r="A36" s="35" t="inlineStr">
        <is>
          <t>SC-32</t>
        </is>
      </c>
      <c r="B36" s="35" t="inlineStr">
        <is>
          <t>/settings</t>
        </is>
      </c>
      <c r="C36" s="36" t="inlineStr">
        <is>
          <t>個人設定</t>
        </is>
      </c>
      <c r="D36" s="36" t="inlineStr">
        <is>
          <t>プロフィール・通知・連携</t>
        </is>
      </c>
      <c r="E36" s="35" t="inlineStr">
        <is>
          <t>ProfileSection, NotificationPrefs, IntegrationsList</t>
        </is>
      </c>
      <c r="F36" s="35" t="inlineStr">
        <is>
          <t>/api/settings</t>
        </is>
      </c>
      <c r="G36" s="36" t="inlineStr">
        <is>
          <t>必要</t>
        </is>
      </c>
      <c r="H36" s="36" t="inlineStr">
        <is>
          <t>対応</t>
        </is>
      </c>
      <c r="I36" s="35" t="inlineStr">
        <is>
          <t>P1</t>
        </is>
      </c>
    </row>
    <row r="38">
      <c r="A38" s="41" t="inlineStr">
        <is>
          <t>■ 追加画面(現場UX補完 v2)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</row>
    <row r="39">
      <c r="A39" s="41" t="inlineStr">
        <is>
          <t>画面ID</t>
        </is>
      </c>
      <c r="B39" s="41" t="inlineStr">
        <is>
          <t>ルート</t>
        </is>
      </c>
      <c r="C39" s="41" t="inlineStr">
        <is>
          <t>種別</t>
        </is>
      </c>
      <c r="D39" s="41" t="inlineStr">
        <is>
          <t>概要</t>
        </is>
      </c>
      <c r="E39" s="41" t="inlineStr">
        <is>
          <t>主要コンポーネント</t>
        </is>
      </c>
      <c r="F39" s="41" t="inlineStr">
        <is>
          <t>主要API</t>
        </is>
      </c>
      <c r="G39" s="41" t="inlineStr">
        <is>
          <t>認証</t>
        </is>
      </c>
      <c r="H39" s="41" t="inlineStr">
        <is>
          <t>モバイル</t>
        </is>
      </c>
      <c r="I39" s="41" t="inlineStr">
        <is>
          <t>Phase</t>
        </is>
      </c>
    </row>
    <row r="40">
      <c r="A40" s="41" t="inlineStr">
        <is>
          <t>SC-33</t>
        </is>
      </c>
      <c r="B40" s="41" t="inlineStr">
        <is>
          <t>/mobile/scan</t>
        </is>
      </c>
      <c r="C40" s="41" t="inlineStr">
        <is>
          <t>モバイル取り込み(改修)</t>
        </is>
      </c>
      <c r="D40" s="41" t="inlineStr">
        <is>
          <t>暗所/片手撮影最適化版</t>
        </is>
      </c>
      <c r="E40" s="41" t="inlineStr">
        <is>
          <t>CameraView+AutoCorrect, GuideOverlay, BurstMode, FlashToggle, ShakeDetector, HapticFeedback, BackSideAdd, EventTagPicker, VoiceMemoStep</t>
        </is>
      </c>
      <c r="F40" s="41" t="inlineStr">
        <is>
          <t>/api/ocr/business-card, /api/ocr/qr, /api/contact-memos</t>
        </is>
      </c>
      <c r="G40" s="41" t="inlineStr">
        <is>
          <t>必要</t>
        </is>
      </c>
      <c r="H40" s="41" t="inlineStr">
        <is>
          <t>専用</t>
        </is>
      </c>
      <c r="I40" s="41" t="inlineStr">
        <is>
          <t>P1</t>
        </is>
      </c>
    </row>
    <row r="41">
      <c r="A41" s="41" t="inlineStr">
        <is>
          <t>SC-34</t>
        </is>
      </c>
      <c r="B41" s="41" t="inlineStr">
        <is>
          <t>/mobile/queue</t>
        </is>
      </c>
      <c r="C41" s="41" t="inlineStr">
        <is>
          <t>オフラインキュー</t>
        </is>
      </c>
      <c r="D41" s="41" t="inlineStr">
        <is>
          <t>通信断時の取り込み待ち一覧</t>
        </is>
      </c>
      <c r="E41" s="41" t="inlineStr">
        <is>
          <t>QueueList, RetryButton, ConflictResolver</t>
        </is>
      </c>
      <c r="F41" s="41" t="inlineStr">
        <is>
          <t>/api/offline-queue</t>
        </is>
      </c>
      <c r="G41" s="41" t="inlineStr">
        <is>
          <t>必要</t>
        </is>
      </c>
      <c r="H41" s="41" t="inlineStr">
        <is>
          <t>専用</t>
        </is>
      </c>
      <c r="I41" s="41" t="inlineStr">
        <is>
          <t>P1</t>
        </is>
      </c>
    </row>
    <row r="42">
      <c r="A42" s="41" t="inlineStr">
        <is>
          <t>SC-35</t>
        </is>
      </c>
      <c r="B42" s="41" t="inlineStr">
        <is>
          <t>/mobile/quick-lookup</t>
        </is>
      </c>
      <c r="C42" s="41" t="inlineStr">
        <is>
          <t>会場用即時検索</t>
        </is>
      </c>
      <c r="D42" s="41" t="inlineStr">
        <is>
          <t>「あの人どこの会社」検索</t>
        </is>
      </c>
      <c r="E42" s="41" t="inlineStr">
        <is>
          <t>SearchBar(voice対応), RecentImports, OfflineCache</t>
        </is>
      </c>
      <c r="F42" s="41" t="inlineStr">
        <is>
          <t>/api/contacts/quick-search</t>
        </is>
      </c>
      <c r="G42" s="41" t="inlineStr">
        <is>
          <t>必要</t>
        </is>
      </c>
      <c r="H42" s="41" t="inlineStr">
        <is>
          <t>専用</t>
        </is>
      </c>
      <c r="I42" s="41" t="inlineStr">
        <is>
          <t>P1</t>
        </is>
      </c>
    </row>
    <row r="43">
      <c r="A43" s="41" t="inlineStr">
        <is>
          <t>SC-36</t>
        </is>
      </c>
      <c r="B43" s="41" t="inlineStr">
        <is>
          <t>/events</t>
        </is>
      </c>
      <c r="C43" s="41" t="inlineStr">
        <is>
          <t>イベント一覧</t>
        </is>
      </c>
      <c r="D43" s="41" t="inlineStr">
        <is>
          <t>名刺取得イベント管理</t>
        </is>
      </c>
      <c r="E43" s="41" t="inlineStr">
        <is>
          <t>EventList, NewEventDialog</t>
        </is>
      </c>
      <c r="F43" s="41" t="inlineStr">
        <is>
          <t>/api/events</t>
        </is>
      </c>
      <c r="G43" s="41" t="inlineStr">
        <is>
          <t>必要</t>
        </is>
      </c>
      <c r="H43" s="41" t="inlineStr">
        <is>
          <t>対応</t>
        </is>
      </c>
      <c r="I43" s="41" t="inlineStr">
        <is>
          <t>P2</t>
        </is>
      </c>
    </row>
    <row r="44">
      <c r="A44" s="41" t="inlineStr">
        <is>
          <t>SC-37</t>
        </is>
      </c>
      <c r="B44" s="41" t="inlineStr">
        <is>
          <t>/inbox/internal-invites</t>
        </is>
      </c>
      <c r="C44" s="41" t="inlineStr">
        <is>
          <t>社内同席inbox</t>
        </is>
      </c>
      <c r="D44" s="41" t="inlineStr">
        <is>
          <t>上司/同僚の同席依頼受信箱</t>
        </is>
      </c>
      <c r="E44" s="41" t="inlineStr">
        <is>
          <t>InviteList, AcceptDeclineButtons</t>
        </is>
      </c>
      <c r="F44" s="41" t="inlineStr">
        <is>
          <t>/api/internal-invites</t>
        </is>
      </c>
      <c r="G44" s="41" t="inlineStr">
        <is>
          <t>必要</t>
        </is>
      </c>
      <c r="H44" s="41" t="inlineStr">
        <is>
          <t>対応</t>
        </is>
      </c>
      <c r="I44" s="41" t="inlineStr">
        <is>
          <t>P2</t>
        </is>
      </c>
    </row>
    <row r="45">
      <c r="A45" s="41" t="inlineStr">
        <is>
          <t>SC-38</t>
        </is>
      </c>
      <c r="B45" s="41" t="inlineStr">
        <is>
          <t>/settings/availability</t>
        </is>
      </c>
      <c r="C45" s="41" t="inlineStr">
        <is>
          <t>業務時間設定</t>
        </is>
      </c>
      <c r="D45" s="41" t="inlineStr">
        <is>
          <t>work_hours/lunch/days_off設定</t>
        </is>
      </c>
      <c r="E45" s="41" t="inlineStr">
        <is>
          <t>WeeklyHoursEditor, HolidayCalendar</t>
        </is>
      </c>
      <c r="F45" s="41" t="inlineStr">
        <is>
          <t>/api/availability-settings</t>
        </is>
      </c>
      <c r="G45" s="41" t="inlineStr">
        <is>
          <t>必要</t>
        </is>
      </c>
      <c r="H45" s="41" t="inlineStr">
        <is>
          <t>対応</t>
        </is>
      </c>
      <c r="I45" s="41" t="inlineStr">
        <is>
          <t>P2</t>
        </is>
      </c>
    </row>
    <row r="46">
      <c r="A46" s="41" t="inlineStr">
        <is>
          <t>SC-39</t>
        </is>
      </c>
      <c r="B46" s="41" t="inlineStr">
        <is>
          <t>/share/[token]/scheduling</t>
        </is>
      </c>
      <c r="C46" s="41" t="inlineStr">
        <is>
          <t>顧客向け日程選択</t>
        </is>
      </c>
      <c r="D46" s="41" t="inlineStr">
        <is>
          <t>Calendly風UI</t>
        </is>
      </c>
      <c r="E46" s="41" t="inlineStr">
        <is>
          <t>WeekCalendar, SlotPicker, ConfirmDialog</t>
        </is>
      </c>
      <c r="F46" s="41" t="inlineStr">
        <is>
          <t>/api/share/[token]/slots</t>
        </is>
      </c>
      <c r="G46" s="41" t="inlineStr">
        <is>
          <t>不要(token)</t>
        </is>
      </c>
      <c r="H46" s="41" t="inlineStr">
        <is>
          <t>対応</t>
        </is>
      </c>
      <c r="I46" s="41" t="inlineStr">
        <is>
          <t>P2</t>
        </is>
      </c>
    </row>
    <row r="47">
      <c r="A47" s="41" t="inlineStr">
        <is>
          <t>SC-40</t>
        </is>
      </c>
      <c r="B47" s="41" t="inlineStr">
        <is>
          <t>/admin/delegates</t>
        </is>
      </c>
      <c r="C47" s="41" t="inlineStr">
        <is>
          <t>代理権限管理</t>
        </is>
      </c>
      <c r="D47" s="41" t="inlineStr">
        <is>
          <t>休暇中の代理メール送信</t>
        </is>
      </c>
      <c r="E47" s="41" t="inlineStr">
        <is>
          <t>DelegatesList, GrantDialog</t>
        </is>
      </c>
      <c r="F47" s="41" t="inlineStr">
        <is>
          <t>/api/admin/delegates</t>
        </is>
      </c>
      <c r="G47" s="41" t="inlineStr">
        <is>
          <t>必要(admin)</t>
        </is>
      </c>
      <c r="H47" s="41" t="inlineStr">
        <is>
          <t>対応</t>
        </is>
      </c>
      <c r="I47" s="41" t="inlineStr">
        <is>
          <t>P3</t>
        </is>
      </c>
    </row>
    <row r="48">
      <c r="A48" s="41" t="inlineStr">
        <is>
          <t>SC-41</t>
        </is>
      </c>
      <c r="B48" s="41" t="inlineStr">
        <is>
          <t>/scheduling/inbox(改修)</t>
        </is>
      </c>
      <c r="C48" s="41" t="inlineStr">
        <is>
          <t>返信パース改修</t>
        </is>
      </c>
      <c r="D48" s="41" t="inlineStr">
        <is>
          <t>意図分類・全NG・別スレッド吸収</t>
        </is>
      </c>
      <c r="E48" s="41" t="inlineStr">
        <is>
          <t>IntentTagFilter, RedraftButton, ThreadMergeBanner</t>
        </is>
      </c>
      <c r="F48" s="41" t="inlineStr">
        <is>
          <t>/api/scheduling/parse, /api/scheduling/redraft</t>
        </is>
      </c>
      <c r="G48" s="41" t="inlineStr">
        <is>
          <t>必要</t>
        </is>
      </c>
      <c r="H48" s="41" t="inlineStr">
        <is>
          <t>対応</t>
        </is>
      </c>
      <c r="I48" s="41" t="inlineStr">
        <is>
          <t>P2</t>
        </is>
      </c>
    </row>
    <row r="49">
      <c r="A49" s="41" t="inlineStr">
        <is>
          <t>SC-42</t>
        </is>
      </c>
      <c r="B49" s="41" t="inlineStr">
        <is>
          <t>/meetings/[id]/brief</t>
        </is>
      </c>
      <c r="C49" s="41" t="inlineStr">
        <is>
          <t>商談前ブリーフィング</t>
        </is>
      </c>
      <c r="D49" s="41" t="inlineStr">
        <is>
          <t>5分前自動表示</t>
        </is>
      </c>
      <c r="E49" s="41" t="inlineStr">
        <is>
          <t>BriefCard(過去要約/ニーズ/資料/同席者), JoinZoomButton</t>
        </is>
      </c>
      <c r="F49" s="41" t="inlineStr">
        <is>
          <t>/api/meetings/[id]/brief</t>
        </is>
      </c>
      <c r="G49" s="41" t="inlineStr">
        <is>
          <t>必要</t>
        </is>
      </c>
      <c r="H49" s="41" t="inlineStr">
        <is>
          <t>対応</t>
        </is>
      </c>
      <c r="I49" s="41" t="inlineStr">
        <is>
          <t>P2</t>
        </is>
      </c>
    </row>
    <row r="50">
      <c r="A50" s="41" t="inlineStr">
        <is>
          <t>SC-43</t>
        </is>
      </c>
      <c r="B50" s="41" t="inlineStr">
        <is>
          <t>/meetings/[id]/live-search</t>
        </is>
      </c>
      <c r="C50" s="41" t="inlineStr">
        <is>
          <t>商談中即時検索</t>
        </is>
      </c>
      <c r="D50" s="41" t="inlineStr">
        <is>
          <t>資料/過去発言を商談中に検索</t>
        </is>
      </c>
      <c r="E50" s="41" t="inlineStr">
        <is>
          <t>SearchPanel, ScreenShareLinkGenerator</t>
        </is>
      </c>
      <c r="F50" s="41" t="inlineStr">
        <is>
          <t>/api/search?context=live</t>
        </is>
      </c>
      <c r="G50" s="41" t="inlineStr">
        <is>
          <t>必要</t>
        </is>
      </c>
      <c r="H50" s="41" t="inlineStr">
        <is>
          <t>対応</t>
        </is>
      </c>
      <c r="I50" s="41" t="inlineStr">
        <is>
          <t>P2</t>
        </is>
      </c>
    </row>
    <row r="51">
      <c r="A51" s="41" t="inlineStr">
        <is>
          <t>SC-44</t>
        </is>
      </c>
      <c r="B51" s="41" t="inlineStr">
        <is>
          <t>/meetings/[id]/external-summary</t>
        </is>
      </c>
      <c r="C51" s="41" t="inlineStr">
        <is>
          <t>顧客向け要約</t>
        </is>
      </c>
      <c r="D51" s="41" t="inlineStr">
        <is>
          <t>社内メモ抜き要約PDF</t>
        </is>
      </c>
      <c r="E51" s="41" t="inlineStr">
        <is>
          <t>ExternalSummaryEditor, PDFExport, ShareLink</t>
        </is>
      </c>
      <c r="F51" s="41" t="inlineStr">
        <is>
          <t>/api/meetings/[id]/external-summary</t>
        </is>
      </c>
      <c r="G51" s="41" t="inlineStr">
        <is>
          <t>必要</t>
        </is>
      </c>
      <c r="H51" s="41" t="inlineStr">
        <is>
          <t>対応</t>
        </is>
      </c>
      <c r="I51" s="41" t="inlineStr">
        <is>
          <t>P2</t>
        </is>
      </c>
    </row>
    <row r="52">
      <c r="A52" s="41" t="inlineStr">
        <is>
          <t>SC-45</t>
        </is>
      </c>
      <c r="B52" s="41" t="inlineStr">
        <is>
          <t>/support/quick-search</t>
        </is>
      </c>
      <c r="C52" s="41" t="inlineStr">
        <is>
          <t>CSクレーム30秒UX</t>
        </is>
      </c>
      <c r="D52" s="41" t="inlineStr">
        <is>
          <t>顧客名1タップ→該当発言</t>
        </is>
      </c>
      <c r="E52" s="41" t="inlineStr">
        <is>
          <t>CustomerPickPad, TopUtterancesList, ContextPreview</t>
        </is>
      </c>
      <c r="F52" s="41" t="inlineStr">
        <is>
          <t>/api/support/quick-search</t>
        </is>
      </c>
      <c r="G52" s="41" t="inlineStr">
        <is>
          <t>必要</t>
        </is>
      </c>
      <c r="H52" s="41" t="inlineStr">
        <is>
          <t>対応</t>
        </is>
      </c>
      <c r="I52" s="41" t="inlineStr">
        <is>
          <t>P2</t>
        </is>
      </c>
    </row>
    <row r="53">
      <c r="A53" s="41" t="inlineStr">
        <is>
          <t>SC-46</t>
        </is>
      </c>
      <c r="B53" s="41" t="inlineStr">
        <is>
          <t>/recordings/[id]/clip</t>
        </is>
      </c>
      <c r="C53" s="41" t="inlineStr">
        <is>
          <t>クリップ作成共有</t>
        </is>
      </c>
      <c r="D53" s="41" t="inlineStr">
        <is>
          <t>部分切り出し+期限付きリンク</t>
        </is>
      </c>
      <c r="E53" s="41" t="inlineStr">
        <is>
          <t>ClipRangePicker, ShareLinkDialog</t>
        </is>
      </c>
      <c r="F53" s="41" t="inlineStr">
        <is>
          <t>/api/recordings/[id]/clip</t>
        </is>
      </c>
      <c r="G53" s="41" t="inlineStr">
        <is>
          <t>必要</t>
        </is>
      </c>
      <c r="H53" s="41" t="inlineStr">
        <is>
          <t>対応</t>
        </is>
      </c>
      <c r="I53" s="41" t="inlineStr">
        <is>
          <t>P2</t>
        </is>
      </c>
    </row>
    <row r="54">
      <c r="A54" s="41" t="inlineStr">
        <is>
          <t>SC-47</t>
        </is>
      </c>
      <c r="B54" s="41" t="inlineStr">
        <is>
          <t>/team/roleplay/live</t>
        </is>
      </c>
      <c r="C54" s="41" t="inlineStr">
        <is>
          <t>ロープレ観戦/介入</t>
        </is>
      </c>
      <c r="D54" s="41" t="inlineStr">
        <is>
          <t>マネージャー向け</t>
        </is>
      </c>
      <c r="E54" s="41" t="inlineStr">
        <is>
          <t>ObservePane, InterventionDock</t>
        </is>
      </c>
      <c r="F54" s="41" t="inlineStr">
        <is>
          <t>/api/roleplay/observe</t>
        </is>
      </c>
      <c r="G54" s="41" t="inlineStr">
        <is>
          <t>必要(manager)</t>
        </is>
      </c>
      <c r="H54" s="41" t="inlineStr">
        <is>
          <t>対応</t>
        </is>
      </c>
      <c r="I54" s="41" t="inlineStr">
        <is>
          <t>P3</t>
        </is>
      </c>
    </row>
    <row r="55">
      <c r="A55" s="41" t="inlineStr">
        <is>
          <t>SC-48</t>
        </is>
      </c>
      <c r="B55" s="41" t="inlineStr">
        <is>
          <t>/admin/insights</t>
        </is>
      </c>
      <c r="C55" s="41" t="inlineStr">
        <is>
          <t>失敗パターン分析</t>
        </is>
      </c>
      <c r="D55" s="41" t="inlineStr">
        <is>
          <t>全社傾向</t>
        </is>
      </c>
      <c r="E55" s="41" t="inlineStr">
        <is>
          <t>FailurePatternsChart, MonthlyReport</t>
        </is>
      </c>
      <c r="F55" s="41" t="inlineStr">
        <is>
          <t>/api/admin/insights</t>
        </is>
      </c>
      <c r="G55" s="41" t="inlineStr">
        <is>
          <t>必要(admin)</t>
        </is>
      </c>
      <c r="H55" s="41" t="inlineStr">
        <is>
          <t>対応</t>
        </is>
      </c>
      <c r="I55" s="41" t="inlineStr">
        <is>
          <t>P3</t>
        </is>
      </c>
    </row>
    <row r="56">
      <c r="A56" s="41" t="inlineStr">
        <is>
          <t>SC-49</t>
        </is>
      </c>
      <c r="B56" s="41" t="inlineStr">
        <is>
          <t>/dashboard/manager/diagnostics</t>
        </is>
      </c>
      <c r="C56" s="41" t="inlineStr">
        <is>
          <t>受注率診断</t>
        </is>
      </c>
      <c r="D56" s="41" t="inlineStr">
        <is>
          <t>AI診断レポート</t>
        </is>
      </c>
      <c r="E56" s="41" t="inlineStr">
        <is>
          <t>DiagnosisCard, FactorsBreakdown</t>
        </is>
      </c>
      <c r="F56" s="41" t="inlineStr">
        <is>
          <t>/api/dashboard/diagnostics</t>
        </is>
      </c>
      <c r="G56" s="41" t="inlineStr">
        <is>
          <t>必要(manager)</t>
        </is>
      </c>
      <c r="H56" s="41" t="inlineStr">
        <is>
          <t>対応</t>
        </is>
      </c>
      <c r="I56" s="41" t="inlineStr">
        <is>
          <t>P3</t>
        </is>
      </c>
    </row>
    <row r="57">
      <c r="A57" s="41" t="inlineStr">
        <is>
          <t>SC-50</t>
        </is>
      </c>
      <c r="B57" s="41" t="inlineStr">
        <is>
          <t>/team/top-phrases</t>
        </is>
      </c>
      <c r="C57" s="41" t="inlineStr">
        <is>
          <t>トップ営業表現集</t>
        </is>
      </c>
      <c r="D57" s="41" t="inlineStr">
        <is>
          <t>優秀者の話し方</t>
        </is>
      </c>
      <c r="E57" s="41" t="inlineStr">
        <is>
          <t>PhraseLibrary, ConsentBadge</t>
        </is>
      </c>
      <c r="F57" s="41" t="inlineStr">
        <is>
          <t>/api/team/top-phrases</t>
        </is>
      </c>
      <c r="G57" s="41" t="inlineStr">
        <is>
          <t>必要(manager)</t>
        </is>
      </c>
      <c r="H57" s="41" t="inlineStr">
        <is>
          <t>対応</t>
        </is>
      </c>
      <c r="I57" s="41" t="inlineStr">
        <is>
          <t>P3</t>
        </is>
      </c>
    </row>
    <row r="58">
      <c r="A58" s="41" t="inlineStr">
        <is>
          <t>SC-51</t>
        </is>
      </c>
      <c r="B58" s="41" t="inlineStr">
        <is>
          <t>/admin/positioning</t>
        </is>
      </c>
      <c r="C58" s="41" t="inlineStr">
        <is>
          <t>製品説明テンプレ</t>
        </is>
      </c>
      <c r="D58" s="41" t="inlineStr">
        <is>
          <t>承認制テンプレ</t>
        </is>
      </c>
      <c r="E58" s="41" t="inlineStr">
        <is>
          <t>TemplateEditor, ApprovalFlow</t>
        </is>
      </c>
      <c r="F58" s="41" t="inlineStr">
        <is>
          <t>/api/admin/positioning</t>
        </is>
      </c>
      <c r="G58" s="41" t="inlineStr">
        <is>
          <t>必要(admin)</t>
        </is>
      </c>
      <c r="H58" s="41" t="inlineStr">
        <is>
          <t>対応</t>
        </is>
      </c>
      <c r="I58" s="41" t="inlineStr">
        <is>
          <t>P3</t>
        </is>
      </c>
    </row>
    <row r="59">
      <c r="A59" s="41" t="inlineStr">
        <is>
          <t>SC-52</t>
        </is>
      </c>
      <c r="B59" s="41" t="inlineStr">
        <is>
          <t>/dashboard/manager/losses</t>
        </is>
      </c>
      <c r="C59" s="41" t="inlineStr">
        <is>
          <t>失注分析</t>
        </is>
      </c>
      <c r="D59" s="41" t="inlineStr">
        <is>
          <t>業界×反論クロス</t>
        </is>
      </c>
      <c r="E59" s="41" t="inlineStr">
        <is>
          <t>LossMatrix, NarrativeSummary</t>
        </is>
      </c>
      <c r="F59" s="41" t="inlineStr">
        <is>
          <t>/api/dashboard/losses</t>
        </is>
      </c>
      <c r="G59" s="41" t="inlineStr">
        <is>
          <t>必要(manager)</t>
        </is>
      </c>
      <c r="H59" s="41" t="inlineStr">
        <is>
          <t>対応</t>
        </is>
      </c>
      <c r="I59" s="41" t="inlineStr">
        <is>
          <t>P3</t>
        </is>
      </c>
    </row>
    <row r="60">
      <c r="A60" s="41" t="inlineStr">
        <is>
          <t>SC-53</t>
        </is>
      </c>
      <c r="B60" s="41" t="inlineStr">
        <is>
          <t>/handoffs/[id]/preview</t>
        </is>
      </c>
      <c r="C60" s="41" t="inlineStr">
        <is>
          <t>引き継ぎ予習</t>
        </is>
      </c>
      <c r="D60" s="41" t="inlineStr">
        <is>
          <t>CSがキックオフ前に確認</t>
        </is>
      </c>
      <c r="E60" s="41" t="inlineStr">
        <is>
          <t>HandoffViewer, HighlightClips, Checklist</t>
        </is>
      </c>
      <c r="F60" s="41" t="inlineStr">
        <is>
          <t>/api/handoffs/[id]/preview</t>
        </is>
      </c>
      <c r="G60" s="41" t="inlineStr">
        <is>
          <t>必要</t>
        </is>
      </c>
      <c r="H60" s="41" t="inlineStr">
        <is>
          <t>対応</t>
        </is>
      </c>
      <c r="I60" s="41" t="inlineStr">
        <is>
          <t>P2</t>
        </is>
      </c>
    </row>
    <row r="61">
      <c r="A61" s="41" t="inlineStr">
        <is>
          <t>SC-54</t>
        </is>
      </c>
      <c r="B61" s="41" t="inlineStr">
        <is>
          <t>/complaints</t>
        </is>
      </c>
      <c r="C61" s="41" t="inlineStr">
        <is>
          <t>クレーム履歴</t>
        </is>
      </c>
      <c r="D61" s="41" t="inlineStr">
        <is>
          <t>商談紐付け一覧</t>
        </is>
      </c>
      <c r="E61" s="41" t="inlineStr">
        <is>
          <t>ComplaintsTable, LessonsLearned</t>
        </is>
      </c>
      <c r="F61" s="41" t="inlineStr">
        <is>
          <t>/api/complaints</t>
        </is>
      </c>
      <c r="G61" s="41" t="inlineStr">
        <is>
          <t>必要</t>
        </is>
      </c>
      <c r="H61" s="41" t="inlineStr">
        <is>
          <t>対応</t>
        </is>
      </c>
      <c r="I61" s="41" t="inlineStr">
        <is>
          <t>P3</t>
        </is>
      </c>
    </row>
    <row r="62">
      <c r="A62" s="41" t="inlineStr">
        <is>
          <t>SC-55</t>
        </is>
      </c>
      <c r="B62" s="41" t="inlineStr">
        <is>
          <t>/admin/trash</t>
        </is>
      </c>
      <c r="C62" s="41" t="inlineStr">
        <is>
          <t>ゴミ箱</t>
        </is>
      </c>
      <c r="D62" s="41" t="inlineStr">
        <is>
          <t>Soft delete復旧</t>
        </is>
      </c>
      <c r="E62" s="41" t="inlineStr">
        <is>
          <t>TrashTable, RestoreButton, PurgeButton</t>
        </is>
      </c>
      <c r="F62" s="41" t="inlineStr">
        <is>
          <t>/api/admin/trash</t>
        </is>
      </c>
      <c r="G62" s="41" t="inlineStr">
        <is>
          <t>必要(admin)</t>
        </is>
      </c>
      <c r="H62" s="41" t="inlineStr">
        <is>
          <t>対応</t>
        </is>
      </c>
      <c r="I62" s="41" t="inlineStr">
        <is>
          <t>P2</t>
        </is>
      </c>
    </row>
    <row r="63">
      <c r="A63" s="41" t="inlineStr">
        <is>
          <t>SC-56</t>
        </is>
      </c>
      <c r="B63" s="41" t="inlineStr">
        <is>
          <t>/admin/audit/rollback</t>
        </is>
      </c>
      <c r="C63" s="41" t="inlineStr">
        <is>
          <t>ロールバック</t>
        </is>
      </c>
      <c r="D63" s="41" t="inlineStr">
        <is>
          <t>PITR操作</t>
        </is>
      </c>
      <c r="E63" s="41" t="inlineStr">
        <is>
          <t>TimeRangePicker, AffectedTablesPreview, ConfirmDialog</t>
        </is>
      </c>
      <c r="F63" s="41" t="inlineStr">
        <is>
          <t>/api/admin/rollback</t>
        </is>
      </c>
      <c r="G63" s="41" t="inlineStr">
        <is>
          <t>必要(admin)</t>
        </is>
      </c>
      <c r="H63" s="41" t="inlineStr">
        <is>
          <t>対応</t>
        </is>
      </c>
      <c r="I63" s="41" t="inlineStr">
        <is>
          <t>P3</t>
        </is>
      </c>
    </row>
    <row r="64">
      <c r="A64" s="41" t="inlineStr">
        <is>
          <t>SC-57</t>
        </is>
      </c>
      <c r="B64" s="41" t="inlineStr">
        <is>
          <t>/admin/policy</t>
        </is>
      </c>
      <c r="C64" s="41" t="inlineStr">
        <is>
          <t>退職者発言ポリシー</t>
        </is>
      </c>
      <c r="D64" s="41" t="inlineStr">
        <is>
          <t>retain/anonymize/delete</t>
        </is>
      </c>
      <c r="E64" s="41" t="inlineStr">
        <is>
          <t>PolicySelector, ApplyToHistorical</t>
        </is>
      </c>
      <c r="F64" s="41" t="inlineStr">
        <is>
          <t>/api/admin/policy</t>
        </is>
      </c>
      <c r="G64" s="41" t="inlineStr">
        <is>
          <t>必要(admin)</t>
        </is>
      </c>
      <c r="H64" s="41" t="inlineStr">
        <is>
          <t>対応</t>
        </is>
      </c>
      <c r="I64" s="41" t="inlineStr">
        <is>
          <t>P3</t>
        </is>
      </c>
    </row>
    <row r="65">
      <c r="A65" s="41" t="inlineStr">
        <is>
          <t>SC-58</t>
        </is>
      </c>
      <c r="B65" s="41" t="inlineStr">
        <is>
          <t>/admin/legal</t>
        </is>
      </c>
      <c r="C65" s="41" t="inlineStr">
        <is>
          <t>法的開示窓口</t>
        </is>
      </c>
      <c r="D65" s="41" t="inlineStr">
        <is>
          <t>チェーンオブカストディ</t>
        </is>
      </c>
      <c r="E65" s="41" t="inlineStr">
        <is>
          <t>DisclosureRequestForm, ExportLog</t>
        </is>
      </c>
      <c r="F65" s="41" t="inlineStr">
        <is>
          <t>/api/admin/legal</t>
        </is>
      </c>
      <c r="G65" s="41" t="inlineStr">
        <is>
          <t>必要(admin)</t>
        </is>
      </c>
      <c r="H65" s="41" t="inlineStr">
        <is>
          <t>対応</t>
        </is>
      </c>
      <c r="I65" s="41" t="inlineStr">
        <is>
          <t>P3</t>
        </is>
      </c>
    </row>
    <row r="66">
      <c r="A66" s="41" t="inlineStr">
        <is>
          <t>SC-59</t>
        </is>
      </c>
      <c r="B66" s="41" t="inlineStr">
        <is>
          <t>/admin/backup</t>
        </is>
      </c>
      <c r="C66" s="41" t="inlineStr">
        <is>
          <t>バックアップ可視化</t>
        </is>
      </c>
      <c r="D66" s="41" t="inlineStr">
        <is>
          <t>PITR状態</t>
        </is>
      </c>
      <c r="E66" s="41" t="inlineStr">
        <is>
          <t>BackupStatusCard, RestorePoints</t>
        </is>
      </c>
      <c r="F66" s="41" t="inlineStr">
        <is>
          <t>/api/admin/backup</t>
        </is>
      </c>
      <c r="G66" s="41" t="inlineStr">
        <is>
          <t>必要(admin)</t>
        </is>
      </c>
      <c r="H66" s="41" t="inlineStr">
        <is>
          <t>対応</t>
        </is>
      </c>
      <c r="I66" s="41" t="inlineStr">
        <is>
          <t>P2</t>
        </is>
      </c>
    </row>
    <row r="67">
      <c r="A67" s="41" t="inlineStr">
        <is>
          <t>SC-60</t>
        </is>
      </c>
      <c r="B67" s="41" t="inlineStr">
        <is>
          <t>/share/[token]/request</t>
        </is>
      </c>
      <c r="C67" s="41" t="inlineStr">
        <is>
          <t>削除依頼窓口</t>
        </is>
      </c>
      <c r="D67" s="41" t="inlineStr">
        <is>
          <t>顧客の発言削除依頼</t>
        </is>
      </c>
      <c r="E67" s="41" t="inlineStr">
        <is>
          <t>DeletionRequestForm, RequestStatus</t>
        </is>
      </c>
      <c r="F67" s="41" t="inlineStr">
        <is>
          <t>/api/share/[token]/deletion-request</t>
        </is>
      </c>
      <c r="G67" s="41" t="inlineStr">
        <is>
          <t>不要(token)</t>
        </is>
      </c>
      <c r="H67" s="41" t="inlineStr">
        <is>
          <t>対応</t>
        </is>
      </c>
      <c r="I67" s="41" t="inlineStr">
        <is>
          <t>P2</t>
        </is>
      </c>
    </row>
    <row r="68">
      <c r="A68" s="41" t="inlineStr">
        <is>
          <t>SC-61</t>
        </is>
      </c>
      <c r="B68" s="41" t="inlineStr">
        <is>
          <t>/onboarding(改修)</t>
        </is>
      </c>
      <c r="C68" s="41" t="inlineStr">
        <is>
          <t>ガイド付きツアー</t>
        </is>
      </c>
      <c r="D68" s="41" t="inlineStr">
        <is>
          <t>サンプルデータ+7ステップ</t>
        </is>
      </c>
      <c r="E68" s="41" t="inlineStr">
        <is>
          <t>SampleDataLoader, TourSteps, SkipButton</t>
        </is>
      </c>
      <c r="F68" s="41" t="inlineStr">
        <is>
          <t>/api/onboarding</t>
        </is>
      </c>
      <c r="G68" s="41" t="inlineStr">
        <is>
          <t>必要</t>
        </is>
      </c>
      <c r="H68" s="41" t="inlineStr">
        <is>
          <t>対応</t>
        </is>
      </c>
      <c r="I68" s="41" t="inlineStr">
        <is>
          <t>P1</t>
        </is>
      </c>
    </row>
    <row r="69">
      <c r="A69" s="41" t="inlineStr">
        <is>
          <t>SC-62</t>
        </is>
      </c>
      <c r="B69" s="41" t="inlineStr">
        <is>
          <t>/contacts/import/legacy</t>
        </is>
      </c>
      <c r="C69" s="41" t="inlineStr">
        <is>
          <t>既存名刺移行</t>
        </is>
      </c>
      <c r="D69" s="41" t="inlineStr">
        <is>
          <t>CSV/Sansan/Eight</t>
        </is>
      </c>
      <c r="E69" s="41" t="inlineStr">
        <is>
          <t>FileDropzone, FieldMapper, DupeMergeUI</t>
        </is>
      </c>
      <c r="F69" s="41" t="inlineStr">
        <is>
          <t>/api/contacts/import/legacy</t>
        </is>
      </c>
      <c r="G69" s="41" t="inlineStr">
        <is>
          <t>必要</t>
        </is>
      </c>
      <c r="H69" s="41" t="inlineStr">
        <is>
          <t>一部</t>
        </is>
      </c>
      <c r="I69" s="41" t="inlineStr">
        <is>
          <t>P2</t>
        </is>
      </c>
    </row>
    <row r="70">
      <c r="A70" s="41" t="inlineStr">
        <is>
          <t>SC-63</t>
        </is>
      </c>
      <c r="B70" s="41" t="inlineStr">
        <is>
          <t>/recordings/import</t>
        </is>
      </c>
      <c r="C70" s="41" t="inlineStr">
        <is>
          <t>録画移行</t>
        </is>
      </c>
      <c r="D70" s="41" t="inlineStr">
        <is>
          <t>Zoom historical一括</t>
        </is>
      </c>
      <c r="E70" s="41" t="inlineStr">
        <is>
          <t>ZoomDateRangePicker, ProgressList</t>
        </is>
      </c>
      <c r="F70" s="41" t="inlineStr">
        <is>
          <t>/api/recordings/import</t>
        </is>
      </c>
      <c r="G70" s="41" t="inlineStr">
        <is>
          <t>必要</t>
        </is>
      </c>
      <c r="H70" s="41" t="inlineStr">
        <is>
          <t>対応</t>
        </is>
      </c>
      <c r="I70" s="41" t="inlineStr">
        <is>
          <t>P3</t>
        </is>
      </c>
    </row>
    <row r="71">
      <c r="A71" s="41" t="inlineStr">
        <is>
          <t>SC-64</t>
        </is>
      </c>
      <c r="B71" s="41" t="inlineStr">
        <is>
          <t>/onboarding/learn</t>
        </is>
      </c>
      <c r="C71" s="41" t="inlineStr">
        <is>
          <t>学習リスト</t>
        </is>
      </c>
      <c r="D71" s="41" t="inlineStr">
        <is>
          <t>新人推奨閲覧</t>
        </is>
      </c>
      <c r="E71" s="41" t="inlineStr">
        <is>
          <t>RecommendedItemsList, ProgressBar</t>
        </is>
      </c>
      <c r="F71" s="41" t="inlineStr">
        <is>
          <t>/api/onboarding/recommendations</t>
        </is>
      </c>
      <c r="G71" s="41" t="inlineStr">
        <is>
          <t>必要</t>
        </is>
      </c>
      <c r="H71" s="41" t="inlineStr">
        <is>
          <t>対応</t>
        </is>
      </c>
      <c r="I71" s="41" t="inlineStr">
        <is>
          <t>P3</t>
        </is>
      </c>
    </row>
    <row r="72">
      <c r="A72" s="41" t="inlineStr">
        <is>
          <t>SC-65</t>
        </is>
      </c>
      <c r="B72" s="41" t="inlineStr">
        <is>
          <t>/help</t>
        </is>
      </c>
      <c r="C72" s="41" t="inlineStr">
        <is>
          <t>ヘルプセンター</t>
        </is>
      </c>
      <c r="D72" s="41" t="inlineStr">
        <is>
          <t>FAQ・問い合わせ</t>
        </is>
      </c>
      <c r="E72" s="41" t="inlineStr">
        <is>
          <t>FAQList, SearchBar, ContactForm</t>
        </is>
      </c>
      <c r="F72" s="41" t="inlineStr">
        <is>
          <t>/api/help</t>
        </is>
      </c>
      <c r="G72" s="41" t="inlineStr">
        <is>
          <t>必要</t>
        </is>
      </c>
      <c r="H72" s="41" t="inlineStr">
        <is>
          <t>対応</t>
        </is>
      </c>
      <c r="I72" s="41" t="inlineStr">
        <is>
          <t>P2</t>
        </is>
      </c>
    </row>
    <row r="73">
      <c r="A73" s="41" t="inlineStr">
        <is>
          <t>SC-66</t>
        </is>
      </c>
      <c r="B73" s="41" t="inlineStr">
        <is>
          <t>/settings/notifications</t>
        </is>
      </c>
      <c r="C73" s="41" t="inlineStr">
        <is>
          <t>通知設定</t>
        </is>
      </c>
      <c r="D73" s="41" t="inlineStr">
        <is>
          <t>Push/Email/Slack</t>
        </is>
      </c>
      <c r="E73" s="41" t="inlineStr">
        <is>
          <t>ChannelToggles, FrequencyPicker, QuietHours</t>
        </is>
      </c>
      <c r="F73" s="41" t="inlineStr">
        <is>
          <t>/api/settings/notifications</t>
        </is>
      </c>
      <c r="G73" s="41" t="inlineStr">
        <is>
          <t>必要</t>
        </is>
      </c>
      <c r="H73" s="41" t="inlineStr">
        <is>
          <t>対応</t>
        </is>
      </c>
      <c r="I73" s="41" t="inlineStr">
        <is>
          <t>P1</t>
        </is>
      </c>
    </row>
    <row r="74">
      <c r="A74" s="41" t="inlineStr">
        <is>
          <t>SC-67</t>
        </is>
      </c>
      <c r="B74" s="41" t="inlineStr">
        <is>
          <t>/settings/export</t>
        </is>
      </c>
      <c r="C74" s="41" t="inlineStr">
        <is>
          <t>個人データエクスポート</t>
        </is>
      </c>
      <c r="D74" s="41" t="inlineStr">
        <is>
          <t>CSV/JSON</t>
        </is>
      </c>
      <c r="E74" s="41" t="inlineStr">
        <is>
          <t>ExportRequestForm, History</t>
        </is>
      </c>
      <c r="F74" s="41" t="inlineStr">
        <is>
          <t>/api/exports/personal</t>
        </is>
      </c>
      <c r="G74" s="41" t="inlineStr">
        <is>
          <t>必要</t>
        </is>
      </c>
      <c r="H74" s="41" t="inlineStr">
        <is>
          <t>対応</t>
        </is>
      </c>
      <c r="I74" s="41" t="inlineStr">
        <is>
          <t>P3</t>
        </is>
      </c>
    </row>
    <row r="75">
      <c r="A75" s="41" t="inlineStr">
        <is>
          <t>SC-68</t>
        </is>
      </c>
      <c r="B75" s="41" t="inlineStr">
        <is>
          <t>/admin/features</t>
        </is>
      </c>
      <c r="C75" s="41" t="inlineStr">
        <is>
          <t>feature flags管理</t>
        </is>
      </c>
      <c r="D75" s="41" t="inlineStr">
        <is>
          <t>β機能ロールアウト</t>
        </is>
      </c>
      <c r="E75" s="41" t="inlineStr">
        <is>
          <t>FlagsTable, RolloutPercentage</t>
        </is>
      </c>
      <c r="F75" s="41" t="inlineStr">
        <is>
          <t>/api/admin/feature-flags</t>
        </is>
      </c>
      <c r="G75" s="41" t="inlineStr">
        <is>
          <t>必要(admin)</t>
        </is>
      </c>
      <c r="H75" s="41" t="inlineStr">
        <is>
          <t>対応</t>
        </is>
      </c>
      <c r="I75" s="41" t="inlineStr">
        <is>
          <t>P2</t>
        </is>
      </c>
    </row>
    <row r="76">
      <c r="A76" s="41" t="inlineStr">
        <is>
          <t>SC-69</t>
        </is>
      </c>
      <c r="B76" s="41" t="inlineStr">
        <is>
          <t>/admin/experiments</t>
        </is>
      </c>
      <c r="C76" s="41" t="inlineStr">
        <is>
          <t>A/Bテスト</t>
        </is>
      </c>
      <c r="D76" s="41" t="inlineStr">
        <is>
          <t>コホート/有意差</t>
        </is>
      </c>
      <c r="E76" s="41" t="inlineStr">
        <is>
          <t>ExperimentList, MetricsChart</t>
        </is>
      </c>
      <c r="F76" s="41" t="inlineStr">
        <is>
          <t>/api/admin/experiments</t>
        </is>
      </c>
      <c r="G76" s="41" t="inlineStr">
        <is>
          <t>必要(admin)</t>
        </is>
      </c>
      <c r="H76" s="41" t="inlineStr">
        <is>
          <t>対応</t>
        </is>
      </c>
      <c r="I76" s="41" t="inlineStr">
        <is>
          <t>P3</t>
        </is>
      </c>
    </row>
    <row r="77">
      <c r="A77" s="41" t="inlineStr">
        <is>
          <t>SC-70</t>
        </is>
      </c>
      <c r="B77" s="41" t="inlineStr">
        <is>
          <t>/403</t>
        </is>
      </c>
      <c r="C77" s="41" t="inlineStr">
        <is>
          <t>権限不足</t>
        </is>
      </c>
      <c r="D77" s="41" t="inlineStr">
        <is>
          <t>エラーではなく申請動線</t>
        </is>
      </c>
      <c r="E77" s="41" t="inlineStr">
        <is>
          <t>PermissionRequestButton, SupervisorPicker</t>
        </is>
      </c>
      <c r="F77" s="41" t="inlineStr">
        <is>
          <t>/api/permission-requests</t>
        </is>
      </c>
      <c r="G77" s="41" t="inlineStr">
        <is>
          <t>必要</t>
        </is>
      </c>
      <c r="H77" s="41" t="inlineStr">
        <is>
          <t>対応</t>
        </is>
      </c>
      <c r="I77" s="41" t="inlineStr">
        <is>
          <t>P1</t>
        </is>
      </c>
    </row>
    <row r="78">
      <c r="A78" s="41" t="inlineStr">
        <is>
          <t>SC-71</t>
        </is>
      </c>
      <c r="B78" s="41" t="inlineStr">
        <is>
          <t>/offline</t>
        </is>
      </c>
      <c r="C78" s="41" t="inlineStr">
        <is>
          <t>オフライン待ち受け</t>
        </is>
      </c>
      <c r="D78" s="41" t="inlineStr">
        <is>
          <t>通信断時UI</t>
        </is>
      </c>
      <c r="E78" s="41" t="inlineStr">
        <is>
          <t>CachedListPreview, RetryNetwork</t>
        </is>
      </c>
      <c r="F78" s="41" t="inlineStr">
        <is>
          <t>(SW)</t>
        </is>
      </c>
      <c r="G78" s="41" t="inlineStr">
        <is>
          <t>必要</t>
        </is>
      </c>
      <c r="H78" s="41" t="inlineStr">
        <is>
          <t>対応</t>
        </is>
      </c>
      <c r="I78" s="41" t="inlineStr">
        <is>
          <t>P1</t>
        </is>
      </c>
    </row>
    <row r="79">
      <c r="A79" s="41" t="inlineStr">
        <is>
          <t>SC-72</t>
        </is>
      </c>
      <c r="B79" s="41" t="inlineStr">
        <is>
          <t>/mobile/voice-memo</t>
        </is>
      </c>
      <c r="C79" s="41" t="inlineStr">
        <is>
          <t>音声メモ</t>
        </is>
      </c>
      <c r="D79" s="41" t="inlineStr">
        <is>
          <t>録音→文字→商談紐付け</t>
        </is>
      </c>
      <c r="E79" s="41" t="inlineStr">
        <is>
          <t>Recorder, TranscriptPreview, MeetingPicker</t>
        </is>
      </c>
      <c r="F79" s="41" t="inlineStr">
        <is>
          <t>/api/voice-memos</t>
        </is>
      </c>
      <c r="G79" s="41" t="inlineStr">
        <is>
          <t>必要</t>
        </is>
      </c>
      <c r="H79" s="41" t="inlineStr">
        <is>
          <t>専用</t>
        </is>
      </c>
      <c r="I79" s="41" t="inlineStr">
        <is>
          <t>P2</t>
        </is>
      </c>
    </row>
    <row r="80">
      <c r="A80" s="41" t="inlineStr">
        <is>
          <t>SC-73</t>
        </is>
      </c>
      <c r="B80" s="41" t="inlineStr">
        <is>
          <t>/dashboard(改修)</t>
        </is>
      </c>
      <c r="C80" s="41" t="inlineStr">
        <is>
          <t>ホーム改修</t>
        </is>
      </c>
      <c r="D80" s="41" t="inlineStr">
        <is>
          <t>RecentViews/RenewalAlert/UpsellSignals追加</t>
        </is>
      </c>
      <c r="E80" s="41" t="inlineStr">
        <is>
          <t>RecentViewsCarousel, RenewalAlerts, UpsellQueue</t>
        </is>
      </c>
      <c r="F80" s="41" t="inlineStr">
        <is>
          <t>/api/dashboard</t>
        </is>
      </c>
      <c r="G80" s="41" t="inlineStr">
        <is>
          <t>必要</t>
        </is>
      </c>
      <c r="H80" s="41" t="inlineStr">
        <is>
          <t>対応</t>
        </is>
      </c>
      <c r="I80" s="41" t="inlineStr">
        <is>
          <t>P1</t>
        </is>
      </c>
    </row>
    <row r="81">
      <c r="A81" s="41" t="inlineStr">
        <is>
          <t>SC-74</t>
        </is>
      </c>
      <c r="B81" s="41" t="inlineStr">
        <is>
          <t>/inbox/conflicts</t>
        </is>
      </c>
      <c r="C81" s="41" t="inlineStr">
        <is>
          <t>編集競合解決</t>
        </is>
      </c>
      <c r="D81" s="41" t="inlineStr">
        <is>
          <t>2デバイス衝突</t>
        </is>
      </c>
      <c r="E81" s="41" t="inlineStr">
        <is>
          <t>ConflictDiffViewer, MergeButtons</t>
        </is>
      </c>
      <c r="F81" s="41" t="inlineStr">
        <is>
          <t>/api/conflicts</t>
        </is>
      </c>
      <c r="G81" s="41" t="inlineStr">
        <is>
          <t>必要</t>
        </is>
      </c>
      <c r="H81" s="41" t="inlineStr">
        <is>
          <t>対応</t>
        </is>
      </c>
      <c r="I81" s="41" t="inlineStr">
        <is>
          <t>P2</t>
        </is>
      </c>
    </row>
    <row r="83">
      <c r="A83" s="41" t="inlineStr">
        <is>
          <t>■ Round2指摘反映追加(v2.2)</t>
        </is>
      </c>
      <c r="B83" s="41" t="n"/>
      <c r="C83" s="41" t="n"/>
      <c r="D83" s="41" t="n"/>
      <c r="E83" s="41" t="n"/>
      <c r="F83" s="41" t="n"/>
      <c r="G83" s="41" t="n"/>
      <c r="H83" s="41" t="n"/>
      <c r="I83" s="41" t="n"/>
    </row>
    <row r="84">
      <c r="A84" s="41" t="inlineStr">
        <is>
          <t>画面ID</t>
        </is>
      </c>
      <c r="B84" s="41" t="inlineStr">
        <is>
          <t>ルート</t>
        </is>
      </c>
      <c r="C84" s="41" t="inlineStr">
        <is>
          <t>種別</t>
        </is>
      </c>
      <c r="D84" s="41" t="inlineStr">
        <is>
          <t>概要</t>
        </is>
      </c>
      <c r="E84" s="41" t="inlineStr">
        <is>
          <t>主要コンポーネント</t>
        </is>
      </c>
      <c r="F84" s="41" t="inlineStr">
        <is>
          <t>主要API</t>
        </is>
      </c>
      <c r="G84" s="41" t="inlineStr">
        <is>
          <t>認証</t>
        </is>
      </c>
      <c r="H84" s="41" t="inlineStr">
        <is>
          <t>モバイル</t>
        </is>
      </c>
      <c r="I84" s="41" t="inlineStr">
        <is>
          <t>Phase</t>
        </is>
      </c>
    </row>
    <row r="85">
      <c r="A85" s="41" t="inlineStr">
        <is>
          <t>SC-75</t>
        </is>
      </c>
      <c r="B85" s="41" t="inlineStr">
        <is>
          <t>/onboarding/install-pwa</t>
        </is>
      </c>
      <c r="C85" s="41" t="inlineStr">
        <is>
          <t>モバイル初回設定</t>
        </is>
      </c>
      <c r="D85" s="41" t="inlineStr">
        <is>
          <t>iOS Safari向けPWAインストール促進画面</t>
        </is>
      </c>
      <c r="E85" s="41" t="inlineStr">
        <is>
          <t>InstallPWAGuide(iOSSteps), AddToHomeScreenHint, NotificationPermissionPrompt</t>
        </is>
      </c>
      <c r="F85" s="41" t="inlineStr">
        <is>
          <t>-</t>
        </is>
      </c>
      <c r="G85" s="41" t="inlineStr">
        <is>
          <t>必要</t>
        </is>
      </c>
      <c r="H85" s="41" t="inlineStr">
        <is>
          <t>専用</t>
        </is>
      </c>
      <c r="I85" s="41" t="inlineStr">
        <is>
          <t>P2</t>
        </is>
      </c>
    </row>
    <row r="86">
      <c r="A86" s="41" t="inlineStr">
        <is>
          <t>SC-76</t>
        </is>
      </c>
      <c r="B86" s="41" t="inlineStr">
        <is>
          <t>/settings/handedness</t>
        </is>
      </c>
      <c r="C86" s="41" t="inlineStr">
        <is>
          <t>個人設定</t>
        </is>
      </c>
      <c r="D86" s="41" t="inlineStr">
        <is>
          <t>左右利き/UI ミラーリング設定</t>
        </is>
      </c>
      <c r="E86" s="41" t="inlineStr">
        <is>
          <t>HandednessPicker, ReachZonePreview</t>
        </is>
      </c>
      <c r="F86" s="41" t="inlineStr">
        <is>
          <t>/api/settings/handedness</t>
        </is>
      </c>
      <c r="G86" s="41" t="inlineStr">
        <is>
          <t>必要</t>
        </is>
      </c>
      <c r="H86" s="41" t="inlineStr">
        <is>
          <t>対応</t>
        </is>
      </c>
      <c r="I86" s="41" t="inlineStr">
        <is>
          <t>P3</t>
        </is>
      </c>
    </row>
    <row r="87">
      <c r="A87" s="41" t="inlineStr">
        <is>
          <t>SC-77</t>
        </is>
      </c>
      <c r="B87" s="41" t="inlineStr">
        <is>
          <t>/admin/audit-chain</t>
        </is>
      </c>
      <c r="C87" s="41" t="inlineStr">
        <is>
          <t>監査ハッシュチェーン</t>
        </is>
      </c>
      <c r="D87" s="41" t="inlineStr">
        <is>
          <t>破断検出と検証</t>
        </is>
      </c>
      <c r="E87" s="41" t="inlineStr">
        <is>
          <t>ChainStatusCard, BrokenRangePicker, VerifyButton</t>
        </is>
      </c>
      <c r="F87" s="41" t="inlineStr">
        <is>
          <t>/api/admin/audit/verify-chain</t>
        </is>
      </c>
      <c r="G87" s="41" t="inlineStr">
        <is>
          <t>必要(admin)</t>
        </is>
      </c>
      <c r="H87" s="41" t="inlineStr">
        <is>
          <t>対応</t>
        </is>
      </c>
      <c r="I87" s="41" t="inlineStr">
        <is>
          <t>P2</t>
        </is>
      </c>
    </row>
    <row r="88">
      <c r="A88" s="41" t="inlineStr">
        <is>
          <t>SC-78</t>
        </is>
      </c>
      <c r="B88" s="41" t="inlineStr">
        <is>
          <t>/admin/dr</t>
        </is>
      </c>
      <c r="C88" s="41" t="inlineStr">
        <is>
          <t>DR コントロール</t>
        </is>
      </c>
      <c r="D88" s="41" t="inlineStr">
        <is>
          <t>DR バックアップ状態とリストア</t>
        </is>
      </c>
      <c r="E88" s="41" t="inlineStr">
        <is>
          <t>BackupStatusList, RestorePointsTable, FailoverDialog</t>
        </is>
      </c>
      <c r="F88" s="41" t="inlineStr">
        <is>
          <t>/api/admin/dr/restore-points</t>
        </is>
      </c>
      <c r="G88" s="41" t="inlineStr">
        <is>
          <t>必要(admin)+MFA</t>
        </is>
      </c>
      <c r="H88" s="41" t="inlineStr">
        <is>
          <t>対応</t>
        </is>
      </c>
      <c r="I88" s="41" t="inlineStr">
        <is>
          <t>P2</t>
        </is>
      </c>
    </row>
    <row r="89">
      <c r="A89" s="41" t="inlineStr">
        <is>
          <t>SC-79</t>
        </is>
      </c>
      <c r="B89" s="41" t="inlineStr">
        <is>
          <t>/admin/users/offboarding/[id]</t>
        </is>
      </c>
      <c r="C89" s="41" t="inlineStr">
        <is>
          <t>退職処理進捗</t>
        </is>
      </c>
      <c r="D89" s="41" t="inlineStr">
        <is>
          <t>O-01〜O-16 チェックリスト</t>
        </is>
      </c>
      <c r="E89" s="41" t="inlineStr">
        <is>
          <t>OffboardingChecklist, OwnerTransferDialog, LegalHoldFlag</t>
        </is>
      </c>
      <c r="F89" s="41" t="inlineStr">
        <is>
          <t>/api/admin/users/offboarding/[id]</t>
        </is>
      </c>
      <c r="G89" s="41" t="inlineStr">
        <is>
          <t>必要(admin)</t>
        </is>
      </c>
      <c r="H89" s="41" t="inlineStr">
        <is>
          <t>対応</t>
        </is>
      </c>
      <c r="I89" s="41" t="inlineStr">
        <is>
          <t>P2</t>
        </is>
      </c>
    </row>
    <row r="91">
      <c r="A91" s="41" t="inlineStr">
        <is>
          <t>■ v2.3 追加画面(実演シミュ反映)</t>
        </is>
      </c>
      <c r="B91" s="41" t="n"/>
      <c r="C91" s="41" t="n"/>
      <c r="D91" s="41" t="n"/>
      <c r="E91" s="41" t="n"/>
      <c r="F91" s="41" t="n"/>
      <c r="G91" s="41" t="n"/>
      <c r="H91" s="41" t="n"/>
      <c r="I91" s="41" t="n"/>
    </row>
    <row r="92">
      <c r="A92" s="41" t="inlineStr">
        <is>
          <t>画面ID</t>
        </is>
      </c>
      <c r="B92" s="41" t="inlineStr">
        <is>
          <t>ルート</t>
        </is>
      </c>
      <c r="C92" s="41" t="inlineStr">
        <is>
          <t>種別</t>
        </is>
      </c>
      <c r="D92" s="41" t="inlineStr">
        <is>
          <t>概要</t>
        </is>
      </c>
      <c r="E92" s="41" t="inlineStr">
        <is>
          <t>主要コンポーネント</t>
        </is>
      </c>
      <c r="F92" s="41" t="inlineStr">
        <is>
          <t>主要API</t>
        </is>
      </c>
      <c r="G92" s="41" t="inlineStr">
        <is>
          <t>認証</t>
        </is>
      </c>
      <c r="H92" s="41" t="inlineStr">
        <is>
          <t>モバイル</t>
        </is>
      </c>
      <c r="I92" s="41" t="inlineStr">
        <is>
          <t>Phase</t>
        </is>
      </c>
    </row>
    <row r="93">
      <c r="A93" s="41" t="inlineStr">
        <is>
          <t>SC-60a</t>
        </is>
      </c>
      <c r="B93" s="41" t="inlineStr">
        <is>
          <t>/admin/deletion-requests</t>
        </is>
      </c>
      <c r="C93" s="41" t="inlineStr">
        <is>
          <t>管理画面</t>
        </is>
      </c>
      <c r="D93" s="41" t="inlineStr">
        <is>
          <t>削除依頼レビュー(F-S11-2)</t>
        </is>
      </c>
      <c r="E93" s="41" t="inlineStr">
        <is>
          <t>TicketTable, SLACountdown, IdentityVerifyPanel, RejectionReasonEnum, DownstreamPropagationStatus</t>
        </is>
      </c>
      <c r="F93" s="41" t="inlineStr">
        <is>
          <t>/api/admin/deletion-requests</t>
        </is>
      </c>
      <c r="G93" s="41" t="inlineStr">
        <is>
          <t>必要(admin/legal)</t>
        </is>
      </c>
      <c r="H93" s="41" t="inlineStr">
        <is>
          <t>対応</t>
        </is>
      </c>
      <c r="I93" s="41" t="inlineStr">
        <is>
          <t>P2</t>
        </is>
      </c>
    </row>
    <row r="94">
      <c r="A94" s="41" t="inlineStr">
        <is>
          <t>SC-80</t>
        </is>
      </c>
      <c r="B94" s="41" t="inlineStr">
        <is>
          <t>/admin/audit-evidence</t>
        </is>
      </c>
      <c r="C94" s="41" t="inlineStr">
        <is>
          <t>管理画面</t>
        </is>
      </c>
      <c r="D94" s="41" t="inlineStr">
        <is>
          <t>監査エビデンスパック(F-S10-2)</t>
        </is>
      </c>
      <c r="E94" s="41" t="inlineStr">
        <is>
          <t>MonthlyPackList, GenerateButton, GPGSignatureViewer</t>
        </is>
      </c>
      <c r="F94" s="41" t="inlineStr">
        <is>
          <t>/api/admin/audit-evidence</t>
        </is>
      </c>
      <c r="G94" s="41" t="inlineStr">
        <is>
          <t>必要(admin)+MFA</t>
        </is>
      </c>
      <c r="H94" s="41" t="inlineStr">
        <is>
          <t>対応</t>
        </is>
      </c>
      <c r="I94" s="41" t="inlineStr">
        <is>
          <t>P2</t>
        </is>
      </c>
    </row>
    <row r="95">
      <c r="A95" s="41" t="inlineStr">
        <is>
          <t>SC-81</t>
        </is>
      </c>
      <c r="B95" s="41" t="inlineStr">
        <is>
          <t>/admin/cost-actuals</t>
        </is>
      </c>
      <c r="C95" s="41" t="inlineStr">
        <is>
          <t>管理画面</t>
        </is>
      </c>
      <c r="D95" s="41" t="inlineStr">
        <is>
          <t>コスト実績ダッシュ(F-S10-4)</t>
        </is>
      </c>
      <c r="E95" s="41" t="inlineStr">
        <is>
          <t>ScopeFilter(user|team|feature), CapReachedHeatmap, MoMComparison</t>
        </is>
      </c>
      <c r="F95" s="41" t="inlineStr">
        <is>
          <t>/api/admin/cost-actuals</t>
        </is>
      </c>
      <c r="G95" s="41" t="inlineStr">
        <is>
          <t>必要(admin)</t>
        </is>
      </c>
      <c r="H95" s="41" t="inlineStr">
        <is>
          <t>対応</t>
        </is>
      </c>
      <c r="I95" s="41" t="inlineStr">
        <is>
          <t>P2</t>
        </is>
      </c>
    </row>
    <row r="96">
      <c r="A96" s="41" t="inlineStr">
        <is>
          <t>SC-82</t>
        </is>
      </c>
      <c r="B96" s="41" t="inlineStr">
        <is>
          <t>/contacts/import (改修)</t>
        </is>
      </c>
      <c r="C96" s="41" t="inlineStr">
        <is>
          <t>取込</t>
        </is>
      </c>
      <c r="D96" s="41" t="inlineStr">
        <is>
          <t>未レビュー◯件バッジ+batch_review_modeへdeeplink(F-S1-2)</t>
        </is>
      </c>
      <c r="E96" s="41" t="inlineStr">
        <is>
          <t>UnreviewedBadge, BatchReviewLink</t>
        </is>
      </c>
      <c r="F96" s="41" t="inlineStr">
        <is>
          <t>/api/contacts/unreviewed-count</t>
        </is>
      </c>
      <c r="G96" s="41" t="inlineStr">
        <is>
          <t>必要</t>
        </is>
      </c>
      <c r="H96" s="41" t="inlineStr">
        <is>
          <t>一部</t>
        </is>
      </c>
      <c r="I96" s="41" t="inlineStr">
        <is>
          <t>P1</t>
        </is>
      </c>
    </row>
    <row r="97">
      <c r="A97" s="41" t="inlineStr">
        <is>
          <t>SC-83</t>
        </is>
      </c>
      <c r="B97" s="41" t="inlineStr">
        <is>
          <t>/share-audience-presets</t>
        </is>
      </c>
      <c r="C97" s="41" t="inlineStr">
        <is>
          <t>管理画面</t>
        </is>
      </c>
      <c r="D97" s="41" t="inlineStr">
        <is>
          <t>共有テンプレ(F-S5-3)</t>
        </is>
      </c>
      <c r="E97" s="41" t="inlineStr">
        <is>
          <t>AudienceTable(internal/customer/legal/external_partner), MaskingPolicyEditor</t>
        </is>
      </c>
      <c r="F97" s="41" t="inlineStr">
        <is>
          <t>/api/admin/share-audience-presets</t>
        </is>
      </c>
      <c r="G97" s="41" t="inlineStr">
        <is>
          <t>必要(admin)</t>
        </is>
      </c>
      <c r="H97" s="41" t="inlineStr">
        <is>
          <t>対応</t>
        </is>
      </c>
      <c r="I97" s="41" t="inlineStr">
        <is>
          <t>P2</t>
        </is>
      </c>
    </row>
    <row r="98">
      <c r="A98" s="41" t="inlineStr">
        <is>
          <t>SC-84</t>
        </is>
      </c>
      <c r="B98" s="41" t="inlineStr">
        <is>
          <t>/admin/anomalies</t>
        </is>
      </c>
      <c r="C98" s="41" t="inlineStr">
        <is>
          <t>管理画面</t>
        </is>
      </c>
      <c r="D98" s="41" t="inlineStr">
        <is>
          <t>行動異常レビュー(F-S8-4)</t>
        </is>
      </c>
      <c r="E98" s="41" t="inlineStr">
        <is>
          <t>AnomalyList, AcknowledgeByUserBadge, EscalationButton</t>
        </is>
      </c>
      <c r="F98" s="41" t="inlineStr">
        <is>
          <t>/api/admin/anomalies</t>
        </is>
      </c>
      <c r="G98" s="41" t="inlineStr">
        <is>
          <t>必要(manager)</t>
        </is>
      </c>
      <c r="H98" s="41" t="inlineStr">
        <is>
          <t>対応</t>
        </is>
      </c>
      <c r="I98" s="41" t="inlineStr">
        <is>
          <t>P3</t>
        </is>
      </c>
    </row>
    <row r="99">
      <c r="A99" s="41" t="inlineStr">
        <is>
          <t>SC-85</t>
        </is>
      </c>
      <c r="B99" s="41" t="inlineStr">
        <is>
          <t>/help/articles (改修)</t>
        </is>
      </c>
      <c r="C99" s="41" t="inlineStr">
        <is>
          <t>ヘルプ</t>
        </is>
      </c>
      <c r="D99" s="41" t="inlineStr">
        <is>
          <t>P1リリース時20記事seed(F-UX-5)</t>
        </is>
      </c>
      <c r="E99" s="41" t="inlineStr">
        <is>
          <t>ArticleSeedListMarker, FAQSearch</t>
        </is>
      </c>
      <c r="F99" s="41" t="inlineStr">
        <is>
          <t>/api/help/articles</t>
        </is>
      </c>
      <c r="G99" s="41" t="inlineStr">
        <is>
          <t>必要</t>
        </is>
      </c>
      <c r="H99" s="41" t="inlineStr">
        <is>
          <t>対応</t>
        </is>
      </c>
      <c r="I99" s="41" t="inlineStr">
        <is>
          <t>P2</t>
        </is>
      </c>
    </row>
    <row r="100">
      <c r="A100" s="41" t="inlineStr">
        <is>
          <t>SC-86</t>
        </is>
      </c>
      <c r="B100" s="41" t="inlineStr">
        <is>
          <t>/settings/export(改修)</t>
        </is>
      </c>
      <c r="C100" s="41" t="inlineStr">
        <is>
          <t>個人設定</t>
        </is>
      </c>
      <c r="D100" s="41" t="inlineStr">
        <is>
          <t>対象種別チェックボックス+パスフレーズ二経路(F-UX-3)</t>
        </is>
      </c>
      <c r="E100" s="41" t="inlineStr">
        <is>
          <t>ScopeCheckboxes, PassphraseChannelPicker(SMS/別Email), Expiry7d</t>
        </is>
      </c>
      <c r="F100" s="41" t="inlineStr">
        <is>
          <t>/api/exports/personal</t>
        </is>
      </c>
      <c r="G100" s="41" t="inlineStr">
        <is>
          <t>必要</t>
        </is>
      </c>
      <c r="H100" s="41" t="inlineStr">
        <is>
          <t>対応</t>
        </is>
      </c>
      <c r="I100" s="41" t="inlineStr">
        <is>
          <t>P3</t>
        </is>
      </c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</row>
    <row r="102">
      <c r="A102" s="41" t="inlineStr">
        <is>
          <t>■ v2.3 既存SCのa11y要件追加列(F-UX-2)</t>
        </is>
      </c>
      <c r="B102" s="41" t="n"/>
      <c r="C102" s="41" t="n"/>
      <c r="D102" s="41" t="n"/>
      <c r="E102" s="41" t="n"/>
      <c r="F102" s="41" t="n"/>
      <c r="G102" s="41" t="n"/>
      <c r="H102" s="41" t="n"/>
      <c r="I102" s="41" t="n"/>
    </row>
    <row r="103">
      <c r="A103" s="41" t="inlineStr">
        <is>
          <t>画面ID</t>
        </is>
      </c>
      <c r="B103" s="41" t="inlineStr">
        <is>
          <t>a11y要件</t>
        </is>
      </c>
      <c r="C103" s="41" t="inlineStr">
        <is>
          <t>focus_order</t>
        </is>
      </c>
      <c r="D103" s="41" t="inlineStr">
        <is>
          <t>aria_live優先度</t>
        </is>
      </c>
      <c r="E103" s="41" t="inlineStr">
        <is>
          <t>focus_trap対象</t>
        </is>
      </c>
      <c r="F103" s="41" t="inlineStr">
        <is>
          <t>ロード時抑制</t>
        </is>
      </c>
      <c r="G103" s="41" t="inlineStr">
        <is>
          <t>-</t>
        </is>
      </c>
      <c r="H103" s="41" t="inlineStr">
        <is>
          <t>-</t>
        </is>
      </c>
      <c r="I103" s="41" t="inlineStr">
        <is>
          <t>-</t>
        </is>
      </c>
    </row>
    <row r="104">
      <c r="A104" s="41" t="inlineStr">
        <is>
          <t>SC-03 dashboard</t>
        </is>
      </c>
      <c r="B104" s="41" t="inlineStr">
        <is>
          <t>RecentViewsCarousel role=region/aria-roledescription=carousel</t>
        </is>
      </c>
      <c r="C104" s="41" t="inlineStr">
        <is>
          <t>Skip→TodoList→Recent→Renewal→Upsell</t>
        </is>
      </c>
      <c r="D104" s="41" t="inlineStr">
        <is>
          <t>alerts=off→操作後polite, 3件以上=サマリ</t>
        </is>
      </c>
      <c r="E104" s="41" t="inlineStr">
        <is>
          <t>ModalDrawer</t>
        </is>
      </c>
      <c r="F104" s="41" t="inlineStr">
        <is>
          <t>ロード時live=offで一括読み上げ防止</t>
        </is>
      </c>
      <c r="G104" s="41" t="inlineStr">
        <is>
          <t>-</t>
        </is>
      </c>
      <c r="H104" s="41" t="inlineStr">
        <is>
          <t>-</t>
        </is>
      </c>
      <c r="I104" s="41" t="inlineStr">
        <is>
          <t>P3</t>
        </is>
      </c>
    </row>
    <row r="105">
      <c r="A105" s="41" t="inlineStr">
        <is>
          <t>SC-11 meeting</t>
        </is>
      </c>
      <c r="B105" s="41" t="inlineStr">
        <is>
          <t>TranscriptTimeline aria-label='文字起こしタイムライン'+segment role=button</t>
        </is>
      </c>
      <c r="C105" s="41" t="inlineStr">
        <is>
          <t>Header→Player→Transcript→Insights</t>
        </is>
      </c>
      <c r="D105" s="41" t="inlineStr">
        <is>
          <t>stage完了通知=polite</t>
        </is>
      </c>
      <c r="E105" s="41" t="inlineStr">
        <is>
          <t>ShareDialog</t>
        </is>
      </c>
      <c r="F105" s="41" t="inlineStr">
        <is>
          <t>-</t>
        </is>
      </c>
      <c r="G105" s="41" t="inlineStr">
        <is>
          <t>-</t>
        </is>
      </c>
      <c r="H105" s="41" t="inlineStr">
        <is>
          <t>-</t>
        </is>
      </c>
      <c r="I105" s="41" t="inlineStr">
        <is>
          <t>P3</t>
        </is>
      </c>
    </row>
    <row r="106">
      <c r="A106" s="41" t="inlineStr">
        <is>
          <t>SC-17 search</t>
        </is>
      </c>
      <c r="B106" s="41" t="inlineStr">
        <is>
          <t>SearchBar aria-label/results role=listbox</t>
        </is>
      </c>
      <c r="C106" s="41" t="inlineStr">
        <is>
          <t>Bar→Filters→Results</t>
        </is>
      </c>
      <c r="D106" s="41" t="inlineStr">
        <is>
          <t>結果0件=polite,新着=off</t>
        </is>
      </c>
      <c r="E106" s="41" t="inlineStr">
        <is>
          <t>-</t>
        </is>
      </c>
      <c r="F106" s="41" t="inlineStr">
        <is>
          <t>-</t>
        </is>
      </c>
      <c r="G106" s="41" t="inlineStr">
        <is>
          <t>-</t>
        </is>
      </c>
      <c r="H106" s="41" t="inlineStr">
        <is>
          <t>-</t>
        </is>
      </c>
      <c r="I106" s="41" t="inlineStr">
        <is>
          <t>P3</t>
        </is>
      </c>
    </row>
    <row r="107">
      <c r="A107" s="41" t="inlineStr">
        <is>
          <t>SC-43 live-search</t>
        </is>
      </c>
      <c r="B107" s="41" t="inlineStr">
        <is>
          <t>別windowはfocus inheritance確保</t>
        </is>
      </c>
      <c r="C107" s="41" t="inlineStr">
        <is>
          <t>SearchBar→Results→Share</t>
        </is>
      </c>
      <c r="D107" s="41" t="inlineStr">
        <is>
          <t>-</t>
        </is>
      </c>
      <c r="E107" s="41" t="inlineStr">
        <is>
          <t>ScreenSharePersonaDialog</t>
        </is>
      </c>
      <c r="F107" s="41" t="inlineStr">
        <is>
          <t>-</t>
        </is>
      </c>
      <c r="G107" s="41" t="inlineStr">
        <is>
          <t>-</t>
        </is>
      </c>
      <c r="H107" s="41" t="inlineStr">
        <is>
          <t>-</t>
        </is>
      </c>
      <c r="I107" s="41" t="inlineStr">
        <is>
          <t>P3</t>
        </is>
      </c>
    </row>
    <row r="108">
      <c r="A108" s="41" t="inlineStr">
        <is>
          <t>SC-72 voice-memo</t>
        </is>
      </c>
      <c r="B108" s="41" t="inlineStr">
        <is>
          <t>Recorder aria-pressed状態通知</t>
        </is>
      </c>
      <c r="C108" s="41" t="inlineStr">
        <is>
          <t>Picker→Recorder→Submit</t>
        </is>
      </c>
      <c r="D108" s="41" t="inlineStr">
        <is>
          <t>録音中=assertive(中断検知時)</t>
        </is>
      </c>
      <c r="E108" s="41" t="inlineStr">
        <is>
          <t>-</t>
        </is>
      </c>
      <c r="F108" s="41" t="inlineStr">
        <is>
          <t>-</t>
        </is>
      </c>
      <c r="G108" s="41" t="inlineStr">
        <is>
          <t>-</t>
        </is>
      </c>
      <c r="H108" s="41" t="inlineStr">
        <is>
          <t>-</t>
        </is>
      </c>
      <c r="I108" s="41" t="inlineStr">
        <is>
          <t>P3</t>
        </is>
      </c>
    </row>
    <row r="109">
      <c r="A109" s="41" t="inlineStr">
        <is>
          <t>SC-25 manager</t>
        </is>
      </c>
      <c r="B109" s="41" t="inlineStr">
        <is>
          <t>Top5/Top3 注目案件リスト role=list</t>
        </is>
      </c>
      <c r="C109" s="41" t="inlineStr">
        <is>
          <t>Top5→部下別→明細</t>
        </is>
      </c>
      <c r="D109" s="41" t="inlineStr">
        <is>
          <t>KPI急変=polite</t>
        </is>
      </c>
      <c r="E109" s="41" t="inlineStr">
        <is>
          <t>-</t>
        </is>
      </c>
      <c r="F109" s="41" t="inlineStr">
        <is>
          <t>ロード時はlive=off</t>
        </is>
      </c>
      <c r="G109" s="41" t="inlineStr">
        <is>
          <t>-</t>
        </is>
      </c>
      <c r="H109" s="41" t="inlineStr">
        <is>
          <t>-</t>
        </is>
      </c>
      <c r="I109" s="41" t="inlineStr">
        <is>
          <t>P3</t>
        </is>
      </c>
    </row>
    <row r="111">
      <c r="A111" s="41" t="inlineStr">
        <is>
          <t>■ v2.5 追加・整理(R3 minor)</t>
        </is>
      </c>
      <c r="B111" s="41" t="n"/>
      <c r="C111" s="41" t="n"/>
      <c r="D111" s="41" t="n"/>
      <c r="E111" s="41" t="n"/>
      <c r="F111" s="41" t="n"/>
      <c r="G111" s="41" t="n"/>
      <c r="H111" s="41" t="n"/>
      <c r="I111" s="41" t="n"/>
    </row>
    <row r="112">
      <c r="A112" s="41" t="inlineStr">
        <is>
          <t>画面ID</t>
        </is>
      </c>
      <c r="B112" s="41" t="inlineStr">
        <is>
          <t>ルート</t>
        </is>
      </c>
      <c r="C112" s="41" t="inlineStr">
        <is>
          <t>種別</t>
        </is>
      </c>
      <c r="D112" s="41" t="inlineStr">
        <is>
          <t>概要</t>
        </is>
      </c>
      <c r="E112" s="41" t="inlineStr">
        <is>
          <t>主要コンポーネント</t>
        </is>
      </c>
      <c r="F112" s="41" t="inlineStr">
        <is>
          <t>主要API</t>
        </is>
      </c>
      <c r="G112" s="41" t="inlineStr">
        <is>
          <t>認証</t>
        </is>
      </c>
      <c r="H112" s="41" t="inlineStr">
        <is>
          <t>モバイル</t>
        </is>
      </c>
      <c r="I112" s="41" t="inlineStr">
        <is>
          <t>Phase</t>
        </is>
      </c>
    </row>
    <row r="113">
      <c r="A113" s="41" t="inlineStr">
        <is>
          <t>SC-126</t>
        </is>
      </c>
      <c r="B113" s="41" t="inlineStr">
        <is>
          <t>/admin/import-dlq</t>
        </is>
      </c>
      <c r="C113" s="41" t="inlineStr">
        <is>
          <t>管理</t>
        </is>
      </c>
      <c r="D113" s="41" t="inlineStr">
        <is>
          <t>DLQ可視化+手動再実行(NF3-S14-1)</t>
        </is>
      </c>
      <c r="E113" s="41" t="inlineStr">
        <is>
          <t>DLQTable, RetryButton, CSVExportButton, aria-label='インポート失敗キュー一覧'</t>
        </is>
      </c>
      <c r="F113" s="41" t="inlineStr">
        <is>
          <t>/api/admin/import-dlq, AP-142</t>
        </is>
      </c>
      <c r="G113" s="41" t="inlineStr">
        <is>
          <t>必要(admin)</t>
        </is>
      </c>
      <c r="H113" s="41" t="inlineStr">
        <is>
          <t>対応</t>
        </is>
      </c>
      <c r="I113" s="41" t="inlineStr">
        <is>
          <t>P3</t>
        </is>
      </c>
    </row>
    <row r="114">
      <c r="A114" s="41" t="inlineStr">
        <is>
          <t>SC-86(整理)</t>
        </is>
      </c>
      <c r="B114" s="41" t="inlineStr">
        <is>
          <t>/settings/export</t>
        </is>
      </c>
      <c r="C114" s="41" t="inlineStr">
        <is>
          <t>個人設定</t>
        </is>
      </c>
      <c r="D114" s="41" t="inlineStr">
        <is>
          <t>個人エクスポート専用に戻す(NF3-S14-1)</t>
        </is>
      </c>
      <c r="E114" s="41" t="inlineStr">
        <is>
          <t>ExportRequestForm, History</t>
        </is>
      </c>
      <c r="F114" s="41" t="inlineStr">
        <is>
          <t>/api/exports/personal</t>
        </is>
      </c>
      <c r="G114" s="41" t="inlineStr">
        <is>
          <t>必要</t>
        </is>
      </c>
      <c r="H114" s="41" t="inlineStr">
        <is>
          <t>対応</t>
        </is>
      </c>
      <c r="I114" s="41" t="inlineStr">
        <is>
          <t>P3</t>
        </is>
      </c>
    </row>
    <row r="115">
      <c r="A115" s="41" t="inlineStr">
        <is>
          <t>SC-31(改)</t>
        </is>
      </c>
      <c r="B115" s="41" t="inlineStr">
        <is>
          <t>/share/[token]</t>
        </is>
      </c>
      <c r="C115" s="41" t="inlineStr">
        <is>
          <t>共有</t>
        </is>
      </c>
      <c r="D115" s="41" t="inlineStr">
        <is>
          <t>人手翻訳リンク追加(NF3-UX-2)</t>
        </is>
      </c>
      <c r="E115" s="41" t="inlineStr">
        <is>
          <t>SharedContentViewer, MachineTranslatedBadge, RequestHumanTranslationLink</t>
        </is>
      </c>
      <c r="F115" s="41" t="inlineStr">
        <is>
          <t>/api/share/[token], AP-139</t>
        </is>
      </c>
      <c r="G115" s="41" t="inlineStr">
        <is>
          <t>不要(token)</t>
        </is>
      </c>
      <c r="H115" s="41" t="inlineStr">
        <is>
          <t>対応</t>
        </is>
      </c>
      <c r="I115" s="41" t="inlineStr">
        <is>
          <t>P2</t>
        </is>
      </c>
    </row>
    <row r="116">
      <c r="A116" s="41" t="inlineStr">
        <is>
          <t>SC-25(改v2.5)</t>
        </is>
      </c>
      <c r="B116" s="41" t="inlineStr">
        <is>
          <t>/dashboard/manager</t>
        </is>
      </c>
      <c r="C116" s="41" t="inlineStr">
        <is>
          <t>マネージャーDB</t>
        </is>
      </c>
      <c r="D116" s="41" t="inlineStr">
        <is>
          <t>信頼区間&lt;0.4 退避タブ+バックログバッジ(NF3-S8-1)</t>
        </is>
      </c>
      <c r="E116" s="41" t="inlineStr">
        <is>
          <t>PipelineFunnel, ReviewBacklogBadge, RequiresReviewTab</t>
        </is>
      </c>
      <c r="F116" s="41" t="inlineStr">
        <is>
          <t>/api/dashboard/manager</t>
        </is>
      </c>
      <c r="G116" s="41" t="inlineStr">
        <is>
          <t>必要(manager)</t>
        </is>
      </c>
      <c r="H116" s="41" t="inlineStr">
        <is>
          <t>対応</t>
        </is>
      </c>
      <c r="I116" s="41" t="inlineStr">
        <is>
          <t>P3</t>
        </is>
      </c>
    </row>
    <row r="117">
      <c r="A117" s="41" t="inlineStr">
        <is>
          <t>SC-60a(改v2.5)</t>
        </is>
      </c>
      <c r="B117" s="41" t="inlineStr">
        <is>
          <t>/admin/deletion-requests</t>
        </is>
      </c>
      <c r="C117" s="41" t="inlineStr">
        <is>
          <t>管理</t>
        </is>
      </c>
      <c r="D117" s="41" t="inlineStr">
        <is>
          <t>代理人KYCタブ追加(NF3-S11-1)</t>
        </is>
      </c>
      <c r="E117" s="41" t="inlineStr">
        <is>
          <t>TicketTable, IdentityVerifyPanel(本人/代理人タブ), POAUploader, ApprovalChainViewer</t>
        </is>
      </c>
      <c r="F117" s="41" t="inlineStr">
        <is>
          <t>/api/admin/deletion-requests, AP-141</t>
        </is>
      </c>
      <c r="G117" s="41" t="inlineStr">
        <is>
          <t>必要(admin/legal)</t>
        </is>
      </c>
      <c r="H117" s="41" t="inlineStr">
        <is>
          <t>対応</t>
        </is>
      </c>
      <c r="I117" s="41" t="inlineStr">
        <is>
          <t>P2</t>
        </is>
      </c>
    </row>
    <row r="118">
      <c r="A118" s="41" t="inlineStr">
        <is>
          <t>SC-11(改v2.5)</t>
        </is>
      </c>
      <c r="B118" s="41" t="inlineStr">
        <is>
          <t>/meetings/[id]</t>
        </is>
      </c>
      <c r="C118" s="41" t="inlineStr">
        <is>
          <t>商談詳細</t>
        </is>
      </c>
      <c r="D118" s="41" t="inlineStr">
        <is>
          <t>『今すぐ再生成』ボタン+残秒数(NF3-S5-1)</t>
        </is>
      </c>
      <c r="E118" s="41" t="inlineStr">
        <is>
          <t>RegenNowButton, DebounceCountdown</t>
        </is>
      </c>
      <c r="F118" s="41" t="inlineStr">
        <is>
          <t>/api/recordings/[id]/regen-now (AP-148)</t>
        </is>
      </c>
      <c r="G118" s="41" t="inlineStr">
        <is>
          <t>必要</t>
        </is>
      </c>
      <c r="H118" s="41" t="inlineStr">
        <is>
          <t>対応</t>
        </is>
      </c>
      <c r="I118" s="41" t="inlineStr">
        <is>
          <t>P2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7" min="1" max="1"/>
    <col width="100" customWidth="1" style="27" min="2" max="2"/>
    <col width="50" customWidth="1" style="27" min="3" max="3"/>
    <col width="8" customWidth="1" style="27" min="4" max="4"/>
  </cols>
  <sheetData>
    <row r="1" ht="24" customHeight="1" s="28">
      <c r="A1" s="45" t="inlineStr">
        <is>
          <t>DBスキーマ</t>
        </is>
      </c>
    </row>
    <row r="2" ht="18" customHeight="1" s="28">
      <c r="A2" s="46" t="inlineStr">
        <is>
          <t>Supabase Postgres / Drizzle ORM 想定</t>
        </is>
      </c>
    </row>
    <row r="4" ht="21.75" customHeight="1" s="28">
      <c r="A4" s="33" t="inlineStr">
        <is>
          <t>■ テーブル一覧</t>
        </is>
      </c>
    </row>
    <row r="5" ht="27.75" customHeight="1" s="28">
      <c r="A5" s="34" t="inlineStr">
        <is>
          <t>テーブル名</t>
        </is>
      </c>
      <c r="B5" s="34" t="inlineStr">
        <is>
          <t>概要</t>
        </is>
      </c>
      <c r="C5" s="37" t="inlineStr">
        <is>
          <t>Phase</t>
        </is>
      </c>
    </row>
    <row r="6" ht="15" customHeight="1" s="28">
      <c r="A6" s="35" t="inlineStr">
        <is>
          <t>users</t>
        </is>
      </c>
      <c r="B6" s="36" t="inlineStr">
        <is>
          <t>ユーザー(Supabase Auth と紐付け)</t>
        </is>
      </c>
      <c r="C6" s="35" t="inlineStr">
        <is>
          <t>P1</t>
        </is>
      </c>
    </row>
    <row r="7" ht="15" customHeight="1" s="28">
      <c r="A7" s="35" t="inlineStr">
        <is>
          <t>user_oauth_tokens</t>
        </is>
      </c>
      <c r="B7" s="35" t="inlineStr">
        <is>
          <t>OAuthトークン(Supabase Vaultで暗号化)</t>
        </is>
      </c>
      <c r="C7" s="35" t="inlineStr">
        <is>
          <t>P1</t>
        </is>
      </c>
    </row>
    <row r="8" ht="15" customHeight="1" s="28">
      <c r="A8" s="35" t="inlineStr">
        <is>
          <t>companies</t>
        </is>
      </c>
      <c r="B8" s="36" t="inlineStr">
        <is>
          <t>顧客企業</t>
        </is>
      </c>
      <c r="C8" s="35" t="inlineStr">
        <is>
          <t>P1</t>
        </is>
      </c>
    </row>
    <row r="9" ht="15" customHeight="1" s="28">
      <c r="A9" s="35" t="inlineStr">
        <is>
          <t>contacts</t>
        </is>
      </c>
      <c r="B9" s="36" t="inlineStr">
        <is>
          <t>コンタクト(名刺由来含む)</t>
        </is>
      </c>
      <c r="C9" s="35" t="inlineStr">
        <is>
          <t>P1</t>
        </is>
      </c>
    </row>
    <row r="10" ht="15" customHeight="1" s="28">
      <c r="A10" s="35" t="inlineStr">
        <is>
          <t>contact_duplicates</t>
        </is>
      </c>
      <c r="B10" s="36" t="inlineStr">
        <is>
          <t>重複検知の保留キュー</t>
        </is>
      </c>
      <c r="C10" s="35" t="inlineStr">
        <is>
          <t>P1</t>
        </is>
      </c>
    </row>
    <row r="11" ht="15" customHeight="1" s="28">
      <c r="A11" s="35" t="inlineStr">
        <is>
          <t>meetings</t>
        </is>
      </c>
      <c r="B11" s="36" t="inlineStr">
        <is>
          <t>商談(中心テーブル)</t>
        </is>
      </c>
      <c r="C11" s="35" t="inlineStr">
        <is>
          <t>P1</t>
        </is>
      </c>
    </row>
    <row r="12" ht="15" customHeight="1" s="28">
      <c r="A12" s="35" t="inlineStr">
        <is>
          <t>meeting_attendees</t>
        </is>
      </c>
      <c r="B12" s="36" t="inlineStr">
        <is>
          <t>商談同席者(社内/社外)</t>
        </is>
      </c>
      <c r="C12" s="35" t="inlineStr">
        <is>
          <t>P1</t>
        </is>
      </c>
    </row>
    <row r="13" ht="15" customHeight="1" s="28">
      <c r="A13" s="35" t="inlineStr">
        <is>
          <t>meeting_notes</t>
        </is>
      </c>
      <c r="B13" s="36" t="inlineStr">
        <is>
          <t>リアルタイムメモ</t>
        </is>
      </c>
      <c r="C13" s="35" t="inlineStr">
        <is>
          <t>P2</t>
        </is>
      </c>
    </row>
    <row r="14" ht="15" customHeight="1" s="28">
      <c r="A14" s="35" t="inlineStr">
        <is>
          <t>recordings</t>
        </is>
      </c>
      <c r="B14" s="36" t="inlineStr">
        <is>
          <t>録画+文字起こし+AI抽出</t>
        </is>
      </c>
      <c r="C14" s="35" t="inlineStr">
        <is>
          <t>P1</t>
        </is>
      </c>
    </row>
    <row r="15" ht="15" customHeight="1" s="28">
      <c r="A15" s="35" t="inlineStr">
        <is>
          <t>recording_clips</t>
        </is>
      </c>
      <c r="B15" s="36" t="inlineStr">
        <is>
          <t>部分切り出しクリップ</t>
        </is>
      </c>
      <c r="C15" s="35" t="inlineStr">
        <is>
          <t>P2</t>
        </is>
      </c>
    </row>
    <row r="16" ht="15" customHeight="1" s="28">
      <c r="A16" s="35" t="inlineStr">
        <is>
          <t>email_threads</t>
        </is>
      </c>
      <c r="B16" s="36" t="inlineStr">
        <is>
          <t>メールスレッド</t>
        </is>
      </c>
      <c r="C16" s="35" t="inlineStr">
        <is>
          <t>P2</t>
        </is>
      </c>
    </row>
    <row r="17" ht="15" customHeight="1" s="28">
      <c r="A17" s="35" t="inlineStr">
        <is>
          <t>email_messages</t>
        </is>
      </c>
      <c r="B17" s="36" t="inlineStr">
        <is>
          <t>個別メールメッセージ</t>
        </is>
      </c>
      <c r="C17" s="35" t="inlineStr">
        <is>
          <t>P2</t>
        </is>
      </c>
    </row>
    <row r="18" ht="15" customHeight="1" s="28">
      <c r="A18" s="35" t="inlineStr">
        <is>
          <t>email_templates</t>
        </is>
      </c>
      <c r="B18" s="36" t="inlineStr">
        <is>
          <t>メールテンプレート</t>
        </is>
      </c>
      <c r="C18" s="35" t="inlineStr">
        <is>
          <t>P2</t>
        </is>
      </c>
    </row>
    <row r="19" ht="15" customHeight="1" s="28">
      <c r="A19" s="35" t="inlineStr">
        <is>
          <t>scheduling_proposals</t>
        </is>
      </c>
      <c r="B19" s="36" t="inlineStr">
        <is>
          <t>日程候補と返信パース状態</t>
        </is>
      </c>
      <c r="C19" s="35" t="inlineStr">
        <is>
          <t>P2</t>
        </is>
      </c>
    </row>
    <row r="20" ht="15" customHeight="1" s="28">
      <c r="A20" s="35" t="inlineStr">
        <is>
          <t>contracts</t>
        </is>
      </c>
      <c r="B20" s="36" t="inlineStr">
        <is>
          <t>契約</t>
        </is>
      </c>
      <c r="C20" s="35" t="inlineStr">
        <is>
          <t>P2</t>
        </is>
      </c>
    </row>
    <row r="21" ht="15" customHeight="1" s="28">
      <c r="A21" s="35" t="inlineStr">
        <is>
          <t>handoffs</t>
        </is>
      </c>
      <c r="B21" s="36" t="inlineStr">
        <is>
          <t>引き継ぎ書</t>
        </is>
      </c>
      <c r="C21" s="35" t="inlineStr">
        <is>
          <t>P2</t>
        </is>
      </c>
    </row>
    <row r="22" ht="15" customHeight="1" s="28">
      <c r="A22" s="35" t="inlineStr">
        <is>
          <t>knowledge_items</t>
        </is>
      </c>
      <c r="B22" s="36" t="inlineStr">
        <is>
          <t>ナレッジアイテム(資料/FAQ等)</t>
        </is>
      </c>
      <c r="C22" s="35" t="inlineStr">
        <is>
          <t>P2</t>
        </is>
      </c>
    </row>
    <row r="23" ht="15" customHeight="1" s="28">
      <c r="A23" s="35" t="inlineStr">
        <is>
          <t>knowledge_embeddings</t>
        </is>
      </c>
      <c r="B23" s="36" t="inlineStr">
        <is>
          <t>ベクトル検索インデックス</t>
        </is>
      </c>
      <c r="C23" s="35" t="inlineStr">
        <is>
          <t>P1</t>
        </is>
      </c>
    </row>
    <row r="24" ht="15" customHeight="1" s="28">
      <c r="A24" s="35" t="inlineStr">
        <is>
          <t>roleplay_scenarios</t>
        </is>
      </c>
      <c r="B24" s="36" t="inlineStr">
        <is>
          <t>ロープレシナリオ</t>
        </is>
      </c>
      <c r="C24" s="35" t="inlineStr">
        <is>
          <t>P3</t>
        </is>
      </c>
    </row>
    <row r="25" ht="15" customHeight="1" s="28">
      <c r="A25" s="35" t="inlineStr">
        <is>
          <t>roleplay_sessions</t>
        </is>
      </c>
      <c r="B25" s="36" t="inlineStr">
        <is>
          <t>ロープレ実施記録</t>
        </is>
      </c>
      <c r="C25" s="35" t="inlineStr">
        <is>
          <t>P3</t>
        </is>
      </c>
    </row>
    <row r="26" ht="15" customHeight="1" s="28">
      <c r="A26" s="35" t="inlineStr">
        <is>
          <t>roleplay_evaluations</t>
        </is>
      </c>
      <c r="B26" s="36" t="inlineStr">
        <is>
          <t>ロープレ評価詳細</t>
        </is>
      </c>
      <c r="C26" s="35" t="inlineStr">
        <is>
          <t>P3</t>
        </is>
      </c>
    </row>
    <row r="27" ht="15" customHeight="1" s="28">
      <c r="A27" s="35" t="inlineStr">
        <is>
          <t>share_links</t>
        </is>
      </c>
      <c r="B27" s="36" t="inlineStr">
        <is>
          <t>期限付き共有リンク</t>
        </is>
      </c>
      <c r="C27" s="35" t="inlineStr">
        <is>
          <t>P2</t>
        </is>
      </c>
    </row>
    <row r="28" ht="15" customHeight="1" s="28">
      <c r="A28" s="35" t="inlineStr">
        <is>
          <t>audit_logs</t>
        </is>
      </c>
      <c r="B28" s="36" t="inlineStr">
        <is>
          <t>監査ログ</t>
        </is>
      </c>
      <c r="C28" s="35" t="inlineStr">
        <is>
          <t>P2</t>
        </is>
      </c>
    </row>
    <row r="29" ht="15" customHeight="1" s="28">
      <c r="A29" s="35" t="inlineStr">
        <is>
          <t>notifications</t>
        </is>
      </c>
      <c r="B29" s="36" t="inlineStr">
        <is>
          <t>通知</t>
        </is>
      </c>
      <c r="C29" s="35" t="inlineStr">
        <is>
          <t>P1</t>
        </is>
      </c>
    </row>
    <row r="30" ht="15" customHeight="1" s="28">
      <c r="A30" s="35" t="inlineStr">
        <is>
          <t>llm_usage_logs</t>
        </is>
      </c>
      <c r="B30" s="35" t="inlineStr">
        <is>
          <t>LLM API使用量ログ</t>
        </is>
      </c>
      <c r="C30" s="35" t="inlineStr">
        <is>
          <t>P2</t>
        </is>
      </c>
    </row>
    <row r="31" ht="15" customHeight="1" s="28">
      <c r="A31" s="35" t="inlineStr">
        <is>
          <t>usage_limits</t>
        </is>
      </c>
      <c r="B31" s="36" t="inlineStr">
        <is>
          <t>ユーザー/組織別上限設定</t>
        </is>
      </c>
      <c r="C31" s="35" t="inlineStr">
        <is>
          <t>P3</t>
        </is>
      </c>
    </row>
    <row r="32" ht="15" customHeight="1" s="28">
      <c r="A32" s="35" t="inlineStr">
        <is>
          <t>feature_flags</t>
        </is>
      </c>
      <c r="B32" s="36" t="inlineStr">
        <is>
          <t>機能フラグ</t>
        </is>
      </c>
      <c r="C32" s="35" t="inlineStr">
        <is>
          <t>P2</t>
        </is>
      </c>
    </row>
    <row r="34" ht="21.75" customHeight="1" s="28">
      <c r="A34" s="33" t="inlineStr">
        <is>
          <t>■ テーブル詳細(主要22テーブル)</t>
        </is>
      </c>
    </row>
    <row r="35" ht="21.75" customHeight="1" s="28">
      <c r="A35" s="47" t="inlineStr">
        <is>
          <t>▼ users</t>
        </is>
      </c>
    </row>
    <row r="36" ht="27.75" customHeight="1" s="28">
      <c r="A36" s="34" t="inlineStr">
        <is>
          <t>カラム</t>
        </is>
      </c>
      <c r="B36" s="34" t="inlineStr">
        <is>
          <t>型</t>
        </is>
      </c>
      <c r="C36" s="34" t="inlineStr">
        <is>
          <t>説明</t>
        </is>
      </c>
      <c r="D36" s="34" t="inlineStr">
        <is>
          <t>必須</t>
        </is>
      </c>
    </row>
    <row r="37" ht="15" customHeight="1" s="28">
      <c r="A37" s="35" t="inlineStr">
        <is>
          <t>id</t>
        </is>
      </c>
      <c r="B37" s="35" t="inlineStr">
        <is>
          <t>uuid PRIMARY KEY</t>
        </is>
      </c>
      <c r="C37" s="35" t="inlineStr">
        <is>
          <t>Supabase auth.users.id と一致</t>
        </is>
      </c>
      <c r="D37" s="36" t="inlineStr">
        <is>
          <t>必須</t>
        </is>
      </c>
    </row>
    <row r="38" ht="15" customHeight="1" s="28">
      <c r="A38" s="35" t="inlineStr">
        <is>
          <t>email</t>
        </is>
      </c>
      <c r="B38" s="35" t="inlineStr">
        <is>
          <t>text NOT NULL UNIQUE</t>
        </is>
      </c>
      <c r="C38" s="36" t="inlineStr">
        <is>
          <t>会社メール</t>
        </is>
      </c>
      <c r="D38" s="36" t="inlineStr">
        <is>
          <t>必須</t>
        </is>
      </c>
    </row>
    <row r="39" ht="15" customHeight="1" s="28">
      <c r="A39" s="35" t="inlineStr">
        <is>
          <t>name</t>
        </is>
      </c>
      <c r="B39" s="35" t="inlineStr">
        <is>
          <t>text NOT NULL</t>
        </is>
      </c>
      <c r="C39" s="36" t="inlineStr">
        <is>
          <t>表示名</t>
        </is>
      </c>
      <c r="D39" s="36" t="inlineStr">
        <is>
          <t>必須</t>
        </is>
      </c>
    </row>
    <row r="40" ht="15" customHeight="1" s="28">
      <c r="A40" s="35" t="inlineStr">
        <is>
          <t>role</t>
        </is>
      </c>
      <c r="B40" s="35" t="inlineStr">
        <is>
          <t>text CHECK (role IN ('sales','cs','manager','admin'))</t>
        </is>
      </c>
      <c r="C40" s="36" t="inlineStr">
        <is>
          <t>権限</t>
        </is>
      </c>
      <c r="D40" s="36" t="inlineStr">
        <is>
          <t>必須</t>
        </is>
      </c>
    </row>
    <row r="41" ht="15" customHeight="1" s="28">
      <c r="A41" s="35" t="inlineStr">
        <is>
          <t>avatar_url</t>
        </is>
      </c>
      <c r="B41" s="35" t="inlineStr">
        <is>
          <t>text</t>
        </is>
      </c>
      <c r="C41" s="36" t="inlineStr">
        <is>
          <t>アバター画像URL</t>
        </is>
      </c>
      <c r="D41" s="36" t="inlineStr">
        <is>
          <t>任意</t>
        </is>
      </c>
    </row>
    <row r="42" ht="15" customHeight="1" s="28">
      <c r="A42" s="35" t="inlineStr">
        <is>
          <t>timezone</t>
        </is>
      </c>
      <c r="B42" s="35" t="inlineStr">
        <is>
          <t>text DEFAULT 'Asia/Tokyo'</t>
        </is>
      </c>
      <c r="C42" s="36" t="inlineStr">
        <is>
          <t>タイムゾーン</t>
        </is>
      </c>
      <c r="D42" s="36" t="inlineStr">
        <is>
          <t>任意</t>
        </is>
      </c>
    </row>
    <row r="43" ht="15" customHeight="1" s="28">
      <c r="A43" s="35" t="inlineStr">
        <is>
          <t>zoom_user_id</t>
        </is>
      </c>
      <c r="B43" s="35" t="inlineStr">
        <is>
          <t>text</t>
        </is>
      </c>
      <c r="C43" s="35" t="inlineStr">
        <is>
          <t>Zoom側ユーザーID</t>
        </is>
      </c>
      <c r="D43" s="36" t="inlineStr">
        <is>
          <t>任意</t>
        </is>
      </c>
    </row>
    <row r="44" ht="15" customHeight="1" s="28">
      <c r="A44" s="35" t="inlineStr">
        <is>
          <t>is_active</t>
        </is>
      </c>
      <c r="B44" s="35" t="inlineStr">
        <is>
          <t>boolean DEFAULT true</t>
        </is>
      </c>
      <c r="C44" s="36" t="inlineStr">
        <is>
          <t>退職フラグ</t>
        </is>
      </c>
      <c r="D44" s="36" t="inlineStr">
        <is>
          <t>必須</t>
        </is>
      </c>
    </row>
    <row r="45" ht="15" customHeight="1" s="28">
      <c r="A45" s="35" t="inlineStr">
        <is>
          <t>created_at</t>
        </is>
      </c>
      <c r="B45" s="35" t="inlineStr">
        <is>
          <t>timestamptz DEFAULT now()</t>
        </is>
      </c>
      <c r="C45" s="36" t="inlineStr">
        <is>
          <t>作成日時</t>
        </is>
      </c>
      <c r="D45" s="36" t="inlineStr">
        <is>
          <t>必須</t>
        </is>
      </c>
    </row>
    <row r="46" ht="15" customHeight="1" s="28">
      <c r="A46" s="35" t="inlineStr">
        <is>
          <t>updated_at</t>
        </is>
      </c>
      <c r="B46" s="35" t="inlineStr">
        <is>
          <t>timestamptz DEFAULT now()</t>
        </is>
      </c>
      <c r="C46" s="36" t="inlineStr">
        <is>
          <t>更新日時</t>
        </is>
      </c>
      <c r="D46" s="36" t="inlineStr">
        <is>
          <t>必須</t>
        </is>
      </c>
    </row>
    <row r="48" ht="21.75" customHeight="1" s="28">
      <c r="A48" s="47" t="inlineStr">
        <is>
          <t>▼ user_oauth_tokens</t>
        </is>
      </c>
    </row>
    <row r="49" ht="27.75" customHeight="1" s="28">
      <c r="A49" s="34" t="inlineStr">
        <is>
          <t>カラム</t>
        </is>
      </c>
      <c r="B49" s="34" t="inlineStr">
        <is>
          <t>型</t>
        </is>
      </c>
      <c r="C49" s="34" t="inlineStr">
        <is>
          <t>説明</t>
        </is>
      </c>
      <c r="D49" s="34" t="inlineStr">
        <is>
          <t>必須</t>
        </is>
      </c>
    </row>
    <row r="50" ht="15" customHeight="1" s="28">
      <c r="A50" s="35" t="inlineStr">
        <is>
          <t>id</t>
        </is>
      </c>
      <c r="B50" s="35" t="inlineStr">
        <is>
          <t>uuid PRIMARY KEY DEFAULT gen_random_uuid()</t>
        </is>
      </c>
      <c r="C50" s="36" t="n"/>
      <c r="D50" s="36" t="inlineStr">
        <is>
          <t>必須</t>
        </is>
      </c>
    </row>
    <row r="51" ht="15" customHeight="1" s="28">
      <c r="A51" s="35" t="inlineStr">
        <is>
          <t>user_id</t>
        </is>
      </c>
      <c r="B51" s="35" t="inlineStr">
        <is>
          <t>uuid REFERENCES users(id) ON DELETE CASCADE</t>
        </is>
      </c>
      <c r="C51" s="36" t="inlineStr">
        <is>
          <t>所有者</t>
        </is>
      </c>
      <c r="D51" s="36" t="inlineStr">
        <is>
          <t>必須</t>
        </is>
      </c>
    </row>
    <row r="52" ht="15" customHeight="1" s="28">
      <c r="A52" s="35" t="inlineStr">
        <is>
          <t>provider</t>
        </is>
      </c>
      <c r="B52" s="35" t="inlineStr">
        <is>
          <t>text CHECK (provider IN ('google','zoom'))</t>
        </is>
      </c>
      <c r="C52" s="36" t="n"/>
      <c r="D52" s="36" t="inlineStr">
        <is>
          <t>必須</t>
        </is>
      </c>
    </row>
    <row r="53" ht="15" customHeight="1" s="28">
      <c r="A53" s="35" t="inlineStr">
        <is>
          <t>refresh_token_secret_id</t>
        </is>
      </c>
      <c r="B53" s="35" t="inlineStr">
        <is>
          <t>uuid</t>
        </is>
      </c>
      <c r="C53" s="35" t="inlineStr">
        <is>
          <t>Supabase Vault のシークレットID</t>
        </is>
      </c>
      <c r="D53" s="36" t="inlineStr">
        <is>
          <t>必須</t>
        </is>
      </c>
    </row>
    <row r="54" ht="15" customHeight="1" s="28">
      <c r="A54" s="35" t="inlineStr">
        <is>
          <t>access_token_secret_id</t>
        </is>
      </c>
      <c r="B54" s="35" t="inlineStr">
        <is>
          <t>uuid</t>
        </is>
      </c>
      <c r="C54" s="36" t="inlineStr">
        <is>
          <t>同上</t>
        </is>
      </c>
      <c r="D54" s="36" t="inlineStr">
        <is>
          <t>必須</t>
        </is>
      </c>
    </row>
    <row r="55" ht="15" customHeight="1" s="28">
      <c r="A55" s="35" t="inlineStr">
        <is>
          <t>expires_at</t>
        </is>
      </c>
      <c r="B55" s="35" t="inlineStr">
        <is>
          <t>timestamptz</t>
        </is>
      </c>
      <c r="C55" s="36" t="inlineStr">
        <is>
          <t>アクセストークン期限</t>
        </is>
      </c>
      <c r="D55" s="36" t="inlineStr">
        <is>
          <t>必須</t>
        </is>
      </c>
    </row>
    <row r="56" ht="15" customHeight="1" s="28">
      <c r="A56" s="35" t="inlineStr">
        <is>
          <t>scopes</t>
        </is>
      </c>
      <c r="B56" s="35" t="inlineStr">
        <is>
          <t>text[]</t>
        </is>
      </c>
      <c r="C56" s="36" t="inlineStr">
        <is>
          <t>取得済スコープ</t>
        </is>
      </c>
      <c r="D56" s="36" t="inlineStr">
        <is>
          <t>必須</t>
        </is>
      </c>
    </row>
    <row r="57" ht="15" customHeight="1" s="28">
      <c r="A57" s="35" t="inlineStr">
        <is>
          <t>created_at</t>
        </is>
      </c>
      <c r="B57" s="35" t="inlineStr">
        <is>
          <t>timestamptz DEFAULT now()</t>
        </is>
      </c>
      <c r="C57" s="36" t="n"/>
      <c r="D57" s="36" t="inlineStr">
        <is>
          <t>必須</t>
        </is>
      </c>
    </row>
    <row r="58" ht="15" customHeight="1" s="28">
      <c r="A58" s="35" t="inlineStr">
        <is>
          <t>UNIQUE</t>
        </is>
      </c>
      <c r="B58" s="35" t="inlineStr">
        <is>
          <t>(user_id, provider)</t>
        </is>
      </c>
      <c r="C58" s="36" t="n"/>
      <c r="D58" s="36" t="n"/>
    </row>
    <row r="60" ht="21.75" customHeight="1" s="28">
      <c r="A60" s="47" t="inlineStr">
        <is>
          <t>▼ companies</t>
        </is>
      </c>
    </row>
    <row r="61" ht="27.75" customHeight="1" s="28">
      <c r="A61" s="34" t="inlineStr">
        <is>
          <t>カラム</t>
        </is>
      </c>
      <c r="B61" s="34" t="inlineStr">
        <is>
          <t>型</t>
        </is>
      </c>
      <c r="C61" s="34" t="inlineStr">
        <is>
          <t>説明</t>
        </is>
      </c>
      <c r="D61" s="34" t="inlineStr">
        <is>
          <t>必須</t>
        </is>
      </c>
    </row>
    <row r="62" ht="15" customHeight="1" s="28">
      <c r="A62" s="35" t="inlineStr">
        <is>
          <t>id</t>
        </is>
      </c>
      <c r="B62" s="35" t="inlineStr">
        <is>
          <t>uuid PRIMARY KEY DEFAULT gen_random_uuid()</t>
        </is>
      </c>
      <c r="C62" s="36" t="n"/>
      <c r="D62" s="36" t="inlineStr">
        <is>
          <t>必須</t>
        </is>
      </c>
    </row>
    <row r="63" ht="15" customHeight="1" s="28">
      <c r="A63" s="35" t="inlineStr">
        <is>
          <t>name</t>
        </is>
      </c>
      <c r="B63" s="35" t="inlineStr">
        <is>
          <t>text NOT NULL</t>
        </is>
      </c>
      <c r="C63" s="36" t="inlineStr">
        <is>
          <t>会社名</t>
        </is>
      </c>
      <c r="D63" s="36" t="inlineStr">
        <is>
          <t>必須</t>
        </is>
      </c>
    </row>
    <row r="64" ht="15" customHeight="1" s="28">
      <c r="A64" s="35" t="inlineStr">
        <is>
          <t>domain</t>
        </is>
      </c>
      <c r="B64" s="35" t="inlineStr">
        <is>
          <t>text</t>
        </is>
      </c>
      <c r="C64" s="36" t="inlineStr">
        <is>
          <t>メールドメインで会社を集約</t>
        </is>
      </c>
      <c r="D64" s="36" t="inlineStr">
        <is>
          <t>任意</t>
        </is>
      </c>
    </row>
    <row r="65" ht="15" customHeight="1" s="28">
      <c r="A65" s="35" t="inlineStr">
        <is>
          <t>industry</t>
        </is>
      </c>
      <c r="B65" s="35" t="inlineStr">
        <is>
          <t>text</t>
        </is>
      </c>
      <c r="C65" s="36" t="inlineStr">
        <is>
          <t>業種</t>
        </is>
      </c>
      <c r="D65" s="36" t="inlineStr">
        <is>
          <t>任意</t>
        </is>
      </c>
    </row>
    <row r="66" ht="15" customHeight="1" s="28">
      <c r="A66" s="35" t="inlineStr">
        <is>
          <t>size</t>
        </is>
      </c>
      <c r="B66" s="35" t="inlineStr">
        <is>
          <t>text CHECK (size IN ('small','medium','large'))</t>
        </is>
      </c>
      <c r="C66" s="36" t="inlineStr">
        <is>
          <t>従業員規模</t>
        </is>
      </c>
      <c r="D66" s="36" t="inlineStr">
        <is>
          <t>任意</t>
        </is>
      </c>
    </row>
    <row r="67" ht="15" customHeight="1" s="28">
      <c r="A67" s="35" t="inlineStr">
        <is>
          <t>notes</t>
        </is>
      </c>
      <c r="B67" s="35" t="inlineStr">
        <is>
          <t>text</t>
        </is>
      </c>
      <c r="C67" s="36" t="inlineStr">
        <is>
          <t>メモ</t>
        </is>
      </c>
      <c r="D67" s="36" t="inlineStr">
        <is>
          <t>任意</t>
        </is>
      </c>
    </row>
    <row r="68" ht="15" customHeight="1" s="28">
      <c r="A68" s="35" t="inlineStr">
        <is>
          <t>created_at</t>
        </is>
      </c>
      <c r="B68" s="35" t="inlineStr">
        <is>
          <t>timestamptz DEFAULT now()</t>
        </is>
      </c>
      <c r="C68" s="36" t="n"/>
      <c r="D68" s="36" t="inlineStr">
        <is>
          <t>必須</t>
        </is>
      </c>
    </row>
    <row r="69" ht="15" customHeight="1" s="28">
      <c r="A69" s="35" t="inlineStr">
        <is>
          <t>updated_at</t>
        </is>
      </c>
      <c r="B69" s="35" t="inlineStr">
        <is>
          <t>timestamptz DEFAULT now()</t>
        </is>
      </c>
      <c r="C69" s="36" t="n"/>
      <c r="D69" s="36" t="inlineStr">
        <is>
          <t>必須</t>
        </is>
      </c>
    </row>
    <row r="70" ht="15" customHeight="1" s="28">
      <c r="A70" s="35" t="inlineStr">
        <is>
          <t>INDEX</t>
        </is>
      </c>
      <c r="B70" s="35" t="inlineStr">
        <is>
          <t>companies_domain_idx (domain)</t>
        </is>
      </c>
      <c r="C70" s="36" t="n"/>
      <c r="D70" s="36" t="n"/>
    </row>
    <row r="72" ht="21.75" customHeight="1" s="28">
      <c r="A72" s="47" t="inlineStr">
        <is>
          <t>▼ contacts</t>
        </is>
      </c>
    </row>
    <row r="73" ht="27.75" customHeight="1" s="28">
      <c r="A73" s="34" t="inlineStr">
        <is>
          <t>カラム</t>
        </is>
      </c>
      <c r="B73" s="34" t="inlineStr">
        <is>
          <t>型</t>
        </is>
      </c>
      <c r="C73" s="34" t="inlineStr">
        <is>
          <t>説明</t>
        </is>
      </c>
      <c r="D73" s="34" t="inlineStr">
        <is>
          <t>必須</t>
        </is>
      </c>
    </row>
    <row r="74" ht="15" customHeight="1" s="28">
      <c r="A74" s="35" t="inlineStr">
        <is>
          <t>id</t>
        </is>
      </c>
      <c r="B74" s="35" t="inlineStr">
        <is>
          <t>uuid PRIMARY KEY DEFAULT gen_random_uuid()</t>
        </is>
      </c>
      <c r="C74" s="36" t="n"/>
      <c r="D74" s="36" t="inlineStr">
        <is>
          <t>必須</t>
        </is>
      </c>
    </row>
    <row r="75" ht="15" customHeight="1" s="28">
      <c r="A75" s="35" t="inlineStr">
        <is>
          <t>company_id</t>
        </is>
      </c>
      <c r="B75" s="35" t="inlineStr">
        <is>
          <t>uuid REFERENCES companies(id)</t>
        </is>
      </c>
      <c r="C75" s="36" t="n"/>
      <c r="D75" s="36" t="inlineStr">
        <is>
          <t>任意</t>
        </is>
      </c>
    </row>
    <row r="76" ht="15" customHeight="1" s="28">
      <c r="A76" s="35" t="inlineStr">
        <is>
          <t>owner_user_id</t>
        </is>
      </c>
      <c r="B76" s="35" t="inlineStr">
        <is>
          <t>uuid REFERENCES users(id) NOT NULL</t>
        </is>
      </c>
      <c r="C76" s="36" t="inlineStr">
        <is>
          <t>担当営業</t>
        </is>
      </c>
      <c r="D76" s="36" t="inlineStr">
        <is>
          <t>必須</t>
        </is>
      </c>
    </row>
    <row r="77" ht="15" customHeight="1" s="28">
      <c r="A77" s="35" t="inlineStr">
        <is>
          <t>name</t>
        </is>
      </c>
      <c r="B77" s="35" t="inlineStr">
        <is>
          <t>text NOT NULL</t>
        </is>
      </c>
      <c r="C77" s="36" t="inlineStr">
        <is>
          <t>氏名</t>
        </is>
      </c>
      <c r="D77" s="36" t="inlineStr">
        <is>
          <t>必須</t>
        </is>
      </c>
    </row>
    <row r="78" ht="15" customHeight="1" s="28">
      <c r="A78" s="35" t="inlineStr">
        <is>
          <t>name_kana</t>
        </is>
      </c>
      <c r="B78" s="35" t="inlineStr">
        <is>
          <t>text</t>
        </is>
      </c>
      <c r="C78" s="36" t="inlineStr">
        <is>
          <t>フリガナ(OCR時に推定)</t>
        </is>
      </c>
      <c r="D78" s="36" t="inlineStr">
        <is>
          <t>任意</t>
        </is>
      </c>
    </row>
    <row r="79" ht="15" customHeight="1" s="28">
      <c r="A79" s="35" t="inlineStr">
        <is>
          <t>title</t>
        </is>
      </c>
      <c r="B79" s="35" t="inlineStr">
        <is>
          <t>text</t>
        </is>
      </c>
      <c r="C79" s="36" t="inlineStr">
        <is>
          <t>役職</t>
        </is>
      </c>
      <c r="D79" s="36" t="inlineStr">
        <is>
          <t>任意</t>
        </is>
      </c>
    </row>
    <row r="80" ht="15" customHeight="1" s="28">
      <c r="A80" s="35" t="inlineStr">
        <is>
          <t>email</t>
        </is>
      </c>
      <c r="B80" s="35" t="inlineStr">
        <is>
          <t>text</t>
        </is>
      </c>
      <c r="C80" s="36" t="inlineStr">
        <is>
          <t>メールアドレス</t>
        </is>
      </c>
      <c r="D80" s="36" t="inlineStr">
        <is>
          <t>任意</t>
        </is>
      </c>
    </row>
    <row r="81" ht="15" customHeight="1" s="28">
      <c r="A81" s="35" t="inlineStr">
        <is>
          <t>phone</t>
        </is>
      </c>
      <c r="B81" s="35" t="inlineStr">
        <is>
          <t>text</t>
        </is>
      </c>
      <c r="C81" s="36" t="inlineStr">
        <is>
          <t>電話番号</t>
        </is>
      </c>
      <c r="D81" s="36" t="inlineStr">
        <is>
          <t>任意</t>
        </is>
      </c>
    </row>
    <row r="82" ht="15" customHeight="1" s="28">
      <c r="A82" s="35" t="inlineStr">
        <is>
          <t>business_card_image_url</t>
        </is>
      </c>
      <c r="B82" s="35" t="inlineStr">
        <is>
          <t>text</t>
        </is>
      </c>
      <c r="C82" s="36" t="inlineStr">
        <is>
          <t>名刺画像 (Supabase Storage)</t>
        </is>
      </c>
      <c r="D82" s="36" t="inlineStr">
        <is>
          <t>任意</t>
        </is>
      </c>
    </row>
    <row r="83" ht="15" customHeight="1" s="28">
      <c r="A83" s="35" t="inlineStr">
        <is>
          <t>ocr_raw_json</t>
        </is>
      </c>
      <c r="B83" s="35" t="inlineStr">
        <is>
          <t>jsonb</t>
        </is>
      </c>
      <c r="C83" s="35" t="inlineStr">
        <is>
          <t>Vision API生レスポンス</t>
        </is>
      </c>
      <c r="D83" s="36" t="inlineStr">
        <is>
          <t>任意</t>
        </is>
      </c>
    </row>
    <row r="84" ht="15" customHeight="1" s="28">
      <c r="A84" s="35" t="inlineStr">
        <is>
          <t>ocr_confidence</t>
        </is>
      </c>
      <c r="B84" s="35" t="inlineStr">
        <is>
          <t>numeric(3,2)</t>
        </is>
      </c>
      <c r="C84" s="35" t="inlineStr">
        <is>
          <t>0.00-1.00</t>
        </is>
      </c>
      <c r="D84" s="36" t="inlineStr">
        <is>
          <t>任意</t>
        </is>
      </c>
    </row>
    <row r="85" ht="23.85" customHeight="1" s="28">
      <c r="A85" s="35" t="inlineStr">
        <is>
          <t>status</t>
        </is>
      </c>
      <c r="B85" s="35" t="inlineStr">
        <is>
          <t>text CHECK (status IN ('new','contacted','scheduled','met','in_progress','closed_won','closed_lost','archived')) DEFAULT 'new'</t>
        </is>
      </c>
      <c r="C85" s="36" t="n"/>
      <c r="D85" s="36" t="inlineStr">
        <is>
          <t>必須</t>
        </is>
      </c>
    </row>
    <row r="86" ht="15" customHeight="1" s="28">
      <c r="A86" s="35" t="inlineStr">
        <is>
          <t>source</t>
        </is>
      </c>
      <c r="B86" s="35" t="inlineStr">
        <is>
          <t>text DEFAULT 'business_card'</t>
        </is>
      </c>
      <c r="C86" s="36" t="inlineStr">
        <is>
          <t>流入経路</t>
        </is>
      </c>
      <c r="D86" s="36" t="inlineStr">
        <is>
          <t>任意</t>
        </is>
      </c>
    </row>
    <row r="87" ht="15" customHeight="1" s="28">
      <c r="A87" s="35" t="inlineStr">
        <is>
          <t>linkedin_url</t>
        </is>
      </c>
      <c r="B87" s="35" t="inlineStr">
        <is>
          <t>text</t>
        </is>
      </c>
      <c r="C87" s="36" t="n"/>
      <c r="D87" s="36" t="inlineStr">
        <is>
          <t>任意</t>
        </is>
      </c>
    </row>
    <row r="88" ht="15" customHeight="1" s="28">
      <c r="A88" s="35" t="inlineStr">
        <is>
          <t>tags</t>
        </is>
      </c>
      <c r="B88" s="35" t="inlineStr">
        <is>
          <t>text[]</t>
        </is>
      </c>
      <c r="C88" s="36" t="n"/>
      <c r="D88" s="36" t="inlineStr">
        <is>
          <t>任意</t>
        </is>
      </c>
    </row>
    <row r="89" ht="15" customHeight="1" s="28">
      <c r="A89" s="35" t="inlineStr">
        <is>
          <t>created_at</t>
        </is>
      </c>
      <c r="B89" s="35" t="inlineStr">
        <is>
          <t>timestamptz DEFAULT now()</t>
        </is>
      </c>
      <c r="C89" s="36" t="n"/>
      <c r="D89" s="36" t="inlineStr">
        <is>
          <t>必須</t>
        </is>
      </c>
    </row>
    <row r="90" ht="15" customHeight="1" s="28">
      <c r="A90" s="35" t="inlineStr">
        <is>
          <t>updated_at</t>
        </is>
      </c>
      <c r="B90" s="35" t="inlineStr">
        <is>
          <t>timestamptz DEFAULT now()</t>
        </is>
      </c>
      <c r="C90" s="36" t="n"/>
      <c r="D90" s="36" t="inlineStr">
        <is>
          <t>必須</t>
        </is>
      </c>
    </row>
    <row r="91" ht="15" customHeight="1" s="28">
      <c r="A91" s="35" t="inlineStr">
        <is>
          <t>INDEX</t>
        </is>
      </c>
      <c r="B91" s="35" t="inlineStr">
        <is>
          <t>contacts_email_idx (email), contacts_owner_idx (owner_user_id)</t>
        </is>
      </c>
      <c r="C91" s="36" t="n"/>
      <c r="D91" s="36" t="n"/>
    </row>
    <row r="93" ht="21.75" customHeight="1" s="28">
      <c r="A93" s="47" t="inlineStr">
        <is>
          <t>▼ contact_duplicates</t>
        </is>
      </c>
    </row>
    <row r="94" ht="27.75" customHeight="1" s="28">
      <c r="A94" s="34" t="inlineStr">
        <is>
          <t>カラム</t>
        </is>
      </c>
      <c r="B94" s="34" t="inlineStr">
        <is>
          <t>型</t>
        </is>
      </c>
      <c r="C94" s="34" t="inlineStr">
        <is>
          <t>説明</t>
        </is>
      </c>
      <c r="D94" s="34" t="inlineStr">
        <is>
          <t>必須</t>
        </is>
      </c>
    </row>
    <row r="95" ht="15" customHeight="1" s="28">
      <c r="A95" s="35" t="inlineStr">
        <is>
          <t>id</t>
        </is>
      </c>
      <c r="B95" s="35" t="inlineStr">
        <is>
          <t>uuid PRIMARY KEY DEFAULT gen_random_uuid()</t>
        </is>
      </c>
      <c r="C95" s="36" t="n"/>
      <c r="D95" s="36" t="inlineStr">
        <is>
          <t>必須</t>
        </is>
      </c>
    </row>
    <row r="96" ht="15" customHeight="1" s="28">
      <c r="A96" s="35" t="inlineStr">
        <is>
          <t>new_contact_id</t>
        </is>
      </c>
      <c r="B96" s="35" t="inlineStr">
        <is>
          <t>uuid REFERENCES contacts(id)</t>
        </is>
      </c>
      <c r="C96" s="36" t="inlineStr">
        <is>
          <t>新規取込側</t>
        </is>
      </c>
      <c r="D96" s="36" t="inlineStr">
        <is>
          <t>必須</t>
        </is>
      </c>
    </row>
    <row r="97" ht="15" customHeight="1" s="28">
      <c r="A97" s="35" t="inlineStr">
        <is>
          <t>existing_contact_id</t>
        </is>
      </c>
      <c r="B97" s="35" t="inlineStr">
        <is>
          <t>uuid REFERENCES contacts(id)</t>
        </is>
      </c>
      <c r="C97" s="36" t="inlineStr">
        <is>
          <t>既存</t>
        </is>
      </c>
      <c r="D97" s="36" t="inlineStr">
        <is>
          <t>必須</t>
        </is>
      </c>
    </row>
    <row r="98" ht="15" customHeight="1" s="28">
      <c r="A98" s="35" t="inlineStr">
        <is>
          <t>match_score</t>
        </is>
      </c>
      <c r="B98" s="35" t="inlineStr">
        <is>
          <t>numeric(3,2)</t>
        </is>
      </c>
      <c r="C98" s="36" t="inlineStr">
        <is>
          <t>突合スコア</t>
        </is>
      </c>
      <c r="D98" s="36" t="inlineStr">
        <is>
          <t>必須</t>
        </is>
      </c>
    </row>
    <row r="99" ht="15" customHeight="1" s="28">
      <c r="A99" s="35" t="inlineStr">
        <is>
          <t>match_fields</t>
        </is>
      </c>
      <c r="B99" s="35" t="inlineStr">
        <is>
          <t>jsonb</t>
        </is>
      </c>
      <c r="C99" s="36" t="inlineStr">
        <is>
          <t>一致したフィールド配列</t>
        </is>
      </c>
      <c r="D99" s="36" t="inlineStr">
        <is>
          <t>必須</t>
        </is>
      </c>
    </row>
    <row r="100" ht="15" customHeight="1" s="28">
      <c r="A100" s="35" t="inlineStr">
        <is>
          <t>resolution</t>
        </is>
      </c>
      <c r="B100" s="35" t="inlineStr">
        <is>
          <t>text CHECK (resolution IN ('pending','merged','kept_separate'))</t>
        </is>
      </c>
      <c r="C100" s="36" t="n"/>
      <c r="D100" s="36" t="inlineStr">
        <is>
          <t>必須</t>
        </is>
      </c>
    </row>
    <row r="101" ht="15" customHeight="1" s="28">
      <c r="A101" s="35" t="inlineStr">
        <is>
          <t>resolved_by</t>
        </is>
      </c>
      <c r="B101" s="35" t="inlineStr">
        <is>
          <t>uuid REFERENCES users(id)</t>
        </is>
      </c>
      <c r="C101" s="36" t="n"/>
      <c r="D101" s="36" t="inlineStr">
        <is>
          <t>任意</t>
        </is>
      </c>
    </row>
    <row r="102" ht="15" customHeight="1" s="28">
      <c r="A102" s="35" t="inlineStr">
        <is>
          <t>created_at</t>
        </is>
      </c>
      <c r="B102" s="35" t="inlineStr">
        <is>
          <t>timestamptz DEFAULT now()</t>
        </is>
      </c>
      <c r="C102" s="36" t="n"/>
      <c r="D102" s="36" t="inlineStr">
        <is>
          <t>必須</t>
        </is>
      </c>
    </row>
    <row r="104" ht="21.75" customHeight="1" s="28">
      <c r="A104" s="47" t="inlineStr">
        <is>
          <t>▼ meetings</t>
        </is>
      </c>
    </row>
    <row r="105" ht="27.75" customHeight="1" s="28">
      <c r="A105" s="34" t="inlineStr">
        <is>
          <t>カラム</t>
        </is>
      </c>
      <c r="B105" s="34" t="inlineStr">
        <is>
          <t>型</t>
        </is>
      </c>
      <c r="C105" s="34" t="inlineStr">
        <is>
          <t>説明</t>
        </is>
      </c>
      <c r="D105" s="34" t="inlineStr">
        <is>
          <t>必須</t>
        </is>
      </c>
    </row>
    <row r="106" ht="15" customHeight="1" s="28">
      <c r="A106" s="35" t="inlineStr">
        <is>
          <t>id</t>
        </is>
      </c>
      <c r="B106" s="35" t="inlineStr">
        <is>
          <t>uuid PRIMARY KEY DEFAULT gen_random_uuid()</t>
        </is>
      </c>
      <c r="C106" s="36" t="n"/>
      <c r="D106" s="36" t="inlineStr">
        <is>
          <t>必須</t>
        </is>
      </c>
    </row>
    <row r="107" ht="15" customHeight="1" s="28">
      <c r="A107" s="35" t="inlineStr">
        <is>
          <t>contact_id</t>
        </is>
      </c>
      <c r="B107" s="35" t="inlineStr">
        <is>
          <t>uuid REFERENCES contacts(id) NOT NULL</t>
        </is>
      </c>
      <c r="C107" s="36" t="inlineStr">
        <is>
          <t>主担当顧客</t>
        </is>
      </c>
      <c r="D107" s="36" t="inlineStr">
        <is>
          <t>必須</t>
        </is>
      </c>
    </row>
    <row r="108" ht="15" customHeight="1" s="28">
      <c r="A108" s="35" t="inlineStr">
        <is>
          <t>owner_user_id</t>
        </is>
      </c>
      <c r="B108" s="35" t="inlineStr">
        <is>
          <t>uuid REFERENCES users(id) NOT NULL</t>
        </is>
      </c>
      <c r="C108" s="36" t="inlineStr">
        <is>
          <t>主担当営業</t>
        </is>
      </c>
      <c r="D108" s="36" t="inlineStr">
        <is>
          <t>必須</t>
        </is>
      </c>
    </row>
    <row r="109" ht="15" customHeight="1" s="28">
      <c r="A109" s="35" t="inlineStr">
        <is>
          <t>title</t>
        </is>
      </c>
      <c r="B109" s="35" t="inlineStr">
        <is>
          <t>text NOT NULL</t>
        </is>
      </c>
      <c r="C109" s="36" t="inlineStr">
        <is>
          <t>商談タイトル</t>
        </is>
      </c>
      <c r="D109" s="36" t="inlineStr">
        <is>
          <t>必須</t>
        </is>
      </c>
    </row>
    <row r="110" ht="15" customHeight="1" s="28">
      <c r="A110" s="35" t="inlineStr">
        <is>
          <t>scheduled_at</t>
        </is>
      </c>
      <c r="B110" s="35" t="inlineStr">
        <is>
          <t>timestamptz</t>
        </is>
      </c>
      <c r="C110" s="36" t="inlineStr">
        <is>
          <t>開始日時</t>
        </is>
      </c>
      <c r="D110" s="36" t="inlineStr">
        <is>
          <t>任意</t>
        </is>
      </c>
    </row>
    <row r="111" ht="15" customHeight="1" s="28">
      <c r="A111" s="35" t="inlineStr">
        <is>
          <t>duration_minutes</t>
        </is>
      </c>
      <c r="B111" s="35" t="inlineStr">
        <is>
          <t>integer DEFAULT 60</t>
        </is>
      </c>
      <c r="C111" s="36" t="inlineStr">
        <is>
          <t>所要時間</t>
        </is>
      </c>
      <c r="D111" s="36" t="inlineStr">
        <is>
          <t>必須</t>
        </is>
      </c>
    </row>
    <row r="112" ht="15" customHeight="1" s="28">
      <c r="A112" s="35" t="inlineStr">
        <is>
          <t>status</t>
        </is>
      </c>
      <c r="B112" s="35" t="inlineStr">
        <is>
          <t>text CHECK (status IN ('scheduling','scheduled','completed','cancelled','no_show'))</t>
        </is>
      </c>
      <c r="C112" s="36" t="n"/>
      <c r="D112" s="36" t="inlineStr">
        <is>
          <t>必須</t>
        </is>
      </c>
    </row>
    <row r="113" ht="15" customHeight="1" s="28">
      <c r="A113" s="35" t="inlineStr">
        <is>
          <t>stage</t>
        </is>
      </c>
      <c r="B113" s="35" t="inlineStr">
        <is>
          <t>text CHECK (stage IN ('first','second','demo','proposal','negotiation','closing','kickoff','cs_regular','cs_issue'))</t>
        </is>
      </c>
      <c r="C113" s="36" t="n"/>
      <c r="D113" s="36" t="inlineStr">
        <is>
          <t>任意</t>
        </is>
      </c>
    </row>
    <row r="114" ht="15" customHeight="1" s="28">
      <c r="A114" s="35" t="inlineStr">
        <is>
          <t>google_calendar_event_id</t>
        </is>
      </c>
      <c r="B114" s="35" t="inlineStr">
        <is>
          <t>text</t>
        </is>
      </c>
      <c r="C114" s="35" t="inlineStr">
        <is>
          <t>Calendar連携ID</t>
        </is>
      </c>
      <c r="D114" s="36" t="inlineStr">
        <is>
          <t>任意</t>
        </is>
      </c>
    </row>
    <row r="115" ht="15" customHeight="1" s="28">
      <c r="A115" s="35" t="inlineStr">
        <is>
          <t>zoom_meeting_id</t>
        </is>
      </c>
      <c r="B115" s="35" t="inlineStr">
        <is>
          <t>text UNIQUE</t>
        </is>
      </c>
      <c r="C115" s="35" t="inlineStr">
        <is>
          <t>Zoom Meeting ID</t>
        </is>
      </c>
      <c r="D115" s="36" t="inlineStr">
        <is>
          <t>任意</t>
        </is>
      </c>
    </row>
    <row r="116" ht="15" customHeight="1" s="28">
      <c r="A116" s="35" t="inlineStr">
        <is>
          <t>zoom_join_url</t>
        </is>
      </c>
      <c r="B116" s="35" t="inlineStr">
        <is>
          <t>text</t>
        </is>
      </c>
      <c r="C116" s="36" t="n"/>
      <c r="D116" s="36" t="inlineStr">
        <is>
          <t>任意</t>
        </is>
      </c>
    </row>
    <row r="117" ht="15" customHeight="1" s="28">
      <c r="A117" s="35" t="inlineStr">
        <is>
          <t>zoom_password</t>
        </is>
      </c>
      <c r="B117" s="35" t="inlineStr">
        <is>
          <t>text</t>
        </is>
      </c>
      <c r="C117" s="36" t="n"/>
      <c r="D117" s="36" t="inlineStr">
        <is>
          <t>任意</t>
        </is>
      </c>
    </row>
    <row r="118" ht="15" customHeight="1" s="28">
      <c r="A118" s="35" t="inlineStr">
        <is>
          <t>manual_notes</t>
        </is>
      </c>
      <c r="B118" s="35" t="inlineStr">
        <is>
          <t>text</t>
        </is>
      </c>
      <c r="C118" s="36" t="inlineStr">
        <is>
          <t>手書きメモ(議事録)</t>
        </is>
      </c>
      <c r="D118" s="36" t="inlineStr">
        <is>
          <t>任意</t>
        </is>
      </c>
    </row>
    <row r="119" ht="15" customHeight="1" s="28">
      <c r="A119" s="35" t="inlineStr">
        <is>
          <t>deal_status</t>
        </is>
      </c>
      <c r="B119" s="35" t="inlineStr">
        <is>
          <t>text CHECK (deal_status IN ('open','won','lost','on_hold'))</t>
        </is>
      </c>
      <c r="C119" s="36" t="inlineStr">
        <is>
          <t>商談ステータス</t>
        </is>
      </c>
      <c r="D119" s="36" t="inlineStr">
        <is>
          <t>任意</t>
        </is>
      </c>
    </row>
    <row r="120" ht="15" customHeight="1" s="28">
      <c r="A120" s="35" t="inlineStr">
        <is>
          <t>deal_amount</t>
        </is>
      </c>
      <c r="B120" s="35" t="inlineStr">
        <is>
          <t>integer</t>
        </is>
      </c>
      <c r="C120" s="36" t="inlineStr">
        <is>
          <t>受注額(円)</t>
        </is>
      </c>
      <c r="D120" s="36" t="inlineStr">
        <is>
          <t>任意</t>
        </is>
      </c>
    </row>
    <row r="121" ht="15" customHeight="1" s="28">
      <c r="A121" s="35" t="inlineStr">
        <is>
          <t>deal_close_date</t>
        </is>
      </c>
      <c r="B121" s="35" t="inlineStr">
        <is>
          <t>date</t>
        </is>
      </c>
      <c r="C121" s="36" t="inlineStr">
        <is>
          <t>受注/失注日</t>
        </is>
      </c>
      <c r="D121" s="36" t="inlineStr">
        <is>
          <t>任意</t>
        </is>
      </c>
    </row>
    <row r="122" ht="15" customHeight="1" s="28">
      <c r="A122" s="35" t="inlineStr">
        <is>
          <t>lost_reason</t>
        </is>
      </c>
      <c r="B122" s="35" t="inlineStr">
        <is>
          <t>text</t>
        </is>
      </c>
      <c r="C122" s="36" t="inlineStr">
        <is>
          <t>失注理由</t>
        </is>
      </c>
      <c r="D122" s="36" t="inlineStr">
        <is>
          <t>任意</t>
        </is>
      </c>
    </row>
    <row r="123" ht="15" customHeight="1" s="28">
      <c r="A123" s="35" t="inlineStr">
        <is>
          <t>contract_id</t>
        </is>
      </c>
      <c r="B123" s="35" t="inlineStr">
        <is>
          <t>uuid REFERENCES contracts(id)</t>
        </is>
      </c>
      <c r="C123" s="36" t="inlineStr">
        <is>
          <t>受注時の契約</t>
        </is>
      </c>
      <c r="D123" s="36" t="inlineStr">
        <is>
          <t>任意</t>
        </is>
      </c>
    </row>
    <row r="124" ht="15" customHeight="1" s="28">
      <c r="A124" s="35" t="inlineStr">
        <is>
          <t>created_at</t>
        </is>
      </c>
      <c r="B124" s="35" t="inlineStr">
        <is>
          <t>timestamptz DEFAULT now()</t>
        </is>
      </c>
      <c r="C124" s="36" t="n"/>
      <c r="D124" s="36" t="inlineStr">
        <is>
          <t>必須</t>
        </is>
      </c>
    </row>
    <row r="125" ht="15" customHeight="1" s="28">
      <c r="A125" s="35" t="inlineStr">
        <is>
          <t>updated_at</t>
        </is>
      </c>
      <c r="B125" s="35" t="inlineStr">
        <is>
          <t>timestamptz DEFAULT now()</t>
        </is>
      </c>
      <c r="C125" s="36" t="n"/>
      <c r="D125" s="36" t="inlineStr">
        <is>
          <t>必須</t>
        </is>
      </c>
    </row>
    <row r="126" ht="15" customHeight="1" s="28">
      <c r="A126" s="35" t="inlineStr">
        <is>
          <t>INDEX</t>
        </is>
      </c>
      <c r="B126" s="35" t="inlineStr">
        <is>
          <t>meetings_scheduled_idx, meetings_contact_idx, meetings_zoom_idx</t>
        </is>
      </c>
      <c r="C126" s="36" t="n"/>
      <c r="D126" s="36" t="n"/>
    </row>
    <row r="128" ht="21.75" customHeight="1" s="28">
      <c r="A128" s="47" t="inlineStr">
        <is>
          <t>▼ meeting_attendees</t>
        </is>
      </c>
    </row>
    <row r="129" ht="27.75" customHeight="1" s="28">
      <c r="A129" s="34" t="inlineStr">
        <is>
          <t>カラム</t>
        </is>
      </c>
      <c r="B129" s="34" t="inlineStr">
        <is>
          <t>型</t>
        </is>
      </c>
      <c r="C129" s="34" t="inlineStr">
        <is>
          <t>説明</t>
        </is>
      </c>
      <c r="D129" s="34" t="inlineStr">
        <is>
          <t>必須</t>
        </is>
      </c>
    </row>
    <row r="130" ht="15" customHeight="1" s="28">
      <c r="A130" s="35" t="inlineStr">
        <is>
          <t>id</t>
        </is>
      </c>
      <c r="B130" s="35" t="inlineStr">
        <is>
          <t>uuid PRIMARY KEY DEFAULT gen_random_uuid()</t>
        </is>
      </c>
      <c r="C130" s="36" t="n"/>
      <c r="D130" s="36" t="inlineStr">
        <is>
          <t>必須</t>
        </is>
      </c>
    </row>
    <row r="131" ht="15" customHeight="1" s="28">
      <c r="A131" s="35" t="inlineStr">
        <is>
          <t>meeting_id</t>
        </is>
      </c>
      <c r="B131" s="35" t="inlineStr">
        <is>
          <t>uuid REFERENCES meetings(id) ON DELETE CASCADE NOT NULL</t>
        </is>
      </c>
      <c r="C131" s="36" t="n"/>
      <c r="D131" s="36" t="inlineStr">
        <is>
          <t>必須</t>
        </is>
      </c>
    </row>
    <row r="132" ht="15" customHeight="1" s="28">
      <c r="A132" s="35" t="inlineStr">
        <is>
          <t>attendee_type</t>
        </is>
      </c>
      <c r="B132" s="35" t="inlineStr">
        <is>
          <t>text CHECK (attendee_type IN ('internal_user','external_contact'))</t>
        </is>
      </c>
      <c r="C132" s="36" t="n"/>
      <c r="D132" s="36" t="inlineStr">
        <is>
          <t>必須</t>
        </is>
      </c>
    </row>
    <row r="133" ht="15" customHeight="1" s="28">
      <c r="A133" s="35" t="inlineStr">
        <is>
          <t>user_id</t>
        </is>
      </c>
      <c r="B133" s="35" t="inlineStr">
        <is>
          <t>uuid REFERENCES users(id)</t>
        </is>
      </c>
      <c r="C133" s="36" t="inlineStr">
        <is>
          <t>社内同席者</t>
        </is>
      </c>
      <c r="D133" s="36" t="inlineStr">
        <is>
          <t>任意</t>
        </is>
      </c>
    </row>
    <row r="134" ht="15" customHeight="1" s="28">
      <c r="A134" s="35" t="inlineStr">
        <is>
          <t>contact_id</t>
        </is>
      </c>
      <c r="B134" s="35" t="inlineStr">
        <is>
          <t>uuid REFERENCES contacts(id)</t>
        </is>
      </c>
      <c r="C134" s="36" t="inlineStr">
        <is>
          <t>社外同席者</t>
        </is>
      </c>
      <c r="D134" s="36" t="inlineStr">
        <is>
          <t>任意</t>
        </is>
      </c>
    </row>
    <row r="135" ht="15" customHeight="1" s="28">
      <c r="A135" s="35" t="inlineStr">
        <is>
          <t>role</t>
        </is>
      </c>
      <c r="B135" s="35" t="inlineStr">
        <is>
          <t>text CHECK (role IN ('owner','co_owner','observer'))</t>
        </is>
      </c>
      <c r="C135" s="36" t="n"/>
      <c r="D135" s="36" t="inlineStr">
        <is>
          <t>必須</t>
        </is>
      </c>
    </row>
    <row r="136" ht="15" customHeight="1" s="28">
      <c r="A136" s="35" t="inlineStr">
        <is>
          <t>speaker_label</t>
        </is>
      </c>
      <c r="B136" s="35" t="inlineStr">
        <is>
          <t>text</t>
        </is>
      </c>
      <c r="C136" s="36" t="inlineStr">
        <is>
          <t>文字起こしの話者ラベル(speaker_1等と紐付け)</t>
        </is>
      </c>
      <c r="D136" s="36" t="inlineStr">
        <is>
          <t>任意</t>
        </is>
      </c>
    </row>
    <row r="137" ht="23.85" customHeight="1" s="28">
      <c r="A137" s="35" t="inlineStr">
        <is>
          <t>CHECK</t>
        </is>
      </c>
      <c r="B137" s="35" t="inlineStr">
        <is>
          <t>((attendee_type = internal_user AND user_id IS NOT NULL) OR (attendee_type = external_contact AND contact_id IS NOT NULL))</t>
        </is>
      </c>
      <c r="C137" s="36" t="n"/>
      <c r="D137" s="36" t="n"/>
    </row>
    <row r="139" ht="21.75" customHeight="1" s="28">
      <c r="A139" s="47" t="inlineStr">
        <is>
          <t>▼ meeting_notes</t>
        </is>
      </c>
    </row>
    <row r="140" ht="27.75" customHeight="1" s="28">
      <c r="A140" s="34" t="inlineStr">
        <is>
          <t>カラム</t>
        </is>
      </c>
      <c r="B140" s="34" t="inlineStr">
        <is>
          <t>型</t>
        </is>
      </c>
      <c r="C140" s="34" t="inlineStr">
        <is>
          <t>説明</t>
        </is>
      </c>
      <c r="D140" s="34" t="inlineStr">
        <is>
          <t>必須</t>
        </is>
      </c>
    </row>
    <row r="141" ht="15" customHeight="1" s="28">
      <c r="A141" s="35" t="inlineStr">
        <is>
          <t>id</t>
        </is>
      </c>
      <c r="B141" s="35" t="inlineStr">
        <is>
          <t>uuid PRIMARY KEY DEFAULT gen_random_uuid()</t>
        </is>
      </c>
      <c r="C141" s="36" t="n"/>
      <c r="D141" s="36" t="inlineStr">
        <is>
          <t>必須</t>
        </is>
      </c>
    </row>
    <row r="142" ht="15" customHeight="1" s="28">
      <c r="A142" s="35" t="inlineStr">
        <is>
          <t>meeting_id</t>
        </is>
      </c>
      <c r="B142" s="35" t="inlineStr">
        <is>
          <t>uuid REFERENCES meetings(id) ON DELETE CASCADE NOT NULL</t>
        </is>
      </c>
      <c r="C142" s="36" t="n"/>
      <c r="D142" s="36" t="inlineStr">
        <is>
          <t>必須</t>
        </is>
      </c>
    </row>
    <row r="143" ht="15" customHeight="1" s="28">
      <c r="A143" s="35" t="inlineStr">
        <is>
          <t>user_id</t>
        </is>
      </c>
      <c r="B143" s="35" t="inlineStr">
        <is>
          <t>uuid REFERENCES users(id) NOT NULL</t>
        </is>
      </c>
      <c r="C143" s="36" t="n"/>
      <c r="D143" s="36" t="inlineStr">
        <is>
          <t>必須</t>
        </is>
      </c>
    </row>
    <row r="144" ht="15" customHeight="1" s="28">
      <c r="A144" s="35" t="inlineStr">
        <is>
          <t>timestamp_seconds</t>
        </is>
      </c>
      <c r="B144" s="35" t="inlineStr">
        <is>
          <t>integer</t>
        </is>
      </c>
      <c r="C144" s="36" t="inlineStr">
        <is>
          <t>商談開始からの秒</t>
        </is>
      </c>
      <c r="D144" s="36" t="inlineStr">
        <is>
          <t>任意</t>
        </is>
      </c>
    </row>
    <row r="145" ht="15" customHeight="1" s="28">
      <c r="A145" s="35" t="inlineStr">
        <is>
          <t>content</t>
        </is>
      </c>
      <c r="B145" s="35" t="inlineStr">
        <is>
          <t>text NOT NULL</t>
        </is>
      </c>
      <c r="C145" s="36" t="n"/>
      <c r="D145" s="36" t="inlineStr">
        <is>
          <t>必須</t>
        </is>
      </c>
    </row>
    <row r="146" ht="15" customHeight="1" s="28">
      <c r="A146" s="35" t="inlineStr">
        <is>
          <t>created_at</t>
        </is>
      </c>
      <c r="B146" s="35" t="inlineStr">
        <is>
          <t>timestamptz DEFAULT now()</t>
        </is>
      </c>
      <c r="C146" s="36" t="n"/>
      <c r="D146" s="36" t="inlineStr">
        <is>
          <t>必須</t>
        </is>
      </c>
    </row>
    <row r="148" ht="21.75" customHeight="1" s="28">
      <c r="A148" s="47" t="inlineStr">
        <is>
          <t>▼ recordings</t>
        </is>
      </c>
    </row>
    <row r="149" ht="27.75" customHeight="1" s="28">
      <c r="A149" s="34" t="inlineStr">
        <is>
          <t>カラム</t>
        </is>
      </c>
      <c r="B149" s="34" t="inlineStr">
        <is>
          <t>型</t>
        </is>
      </c>
      <c r="C149" s="34" t="inlineStr">
        <is>
          <t>説明</t>
        </is>
      </c>
      <c r="D149" s="34" t="inlineStr">
        <is>
          <t>必須</t>
        </is>
      </c>
    </row>
    <row r="150" ht="15" customHeight="1" s="28">
      <c r="A150" s="35" t="inlineStr">
        <is>
          <t>id</t>
        </is>
      </c>
      <c r="B150" s="35" t="inlineStr">
        <is>
          <t>uuid PRIMARY KEY DEFAULT gen_random_uuid()</t>
        </is>
      </c>
      <c r="C150" s="36" t="n"/>
      <c r="D150" s="36" t="inlineStr">
        <is>
          <t>必須</t>
        </is>
      </c>
    </row>
    <row r="151" ht="15" customHeight="1" s="28">
      <c r="A151" s="35" t="inlineStr">
        <is>
          <t>meeting_id</t>
        </is>
      </c>
      <c r="B151" s="35" t="inlineStr">
        <is>
          <t>uuid REFERENCES meetings(id) NOT NULL UNIQUE</t>
        </is>
      </c>
      <c r="C151" s="36" t="n"/>
      <c r="D151" s="36" t="inlineStr">
        <is>
          <t>必須</t>
        </is>
      </c>
    </row>
    <row r="152" ht="15" customHeight="1" s="28">
      <c r="A152" s="35" t="inlineStr">
        <is>
          <t>zoom_recording_id</t>
        </is>
      </c>
      <c r="B152" s="35" t="inlineStr">
        <is>
          <t>text UNIQUE</t>
        </is>
      </c>
      <c r="C152" s="35" t="inlineStr">
        <is>
          <t>Zoom側ID(冪等性)</t>
        </is>
      </c>
      <c r="D152" s="36" t="inlineStr">
        <is>
          <t>任意</t>
        </is>
      </c>
    </row>
    <row r="153" ht="15" customHeight="1" s="28">
      <c r="A153" s="35" t="inlineStr">
        <is>
          <t>video_storage_url</t>
        </is>
      </c>
      <c r="B153" s="35" t="inlineStr">
        <is>
          <t>text</t>
        </is>
      </c>
      <c r="C153" s="35" t="inlineStr">
        <is>
          <t>R2 のURL</t>
        </is>
      </c>
      <c r="D153" s="36" t="inlineStr">
        <is>
          <t>任意</t>
        </is>
      </c>
    </row>
    <row r="154" ht="15" customHeight="1" s="28">
      <c r="A154" s="35" t="inlineStr">
        <is>
          <t>video_storage_key</t>
        </is>
      </c>
      <c r="B154" s="35" t="inlineStr">
        <is>
          <t>text</t>
        </is>
      </c>
      <c r="C154" s="35" t="inlineStr">
        <is>
          <t>R2 のオブジェクトキー</t>
        </is>
      </c>
      <c r="D154" s="36" t="inlineStr">
        <is>
          <t>任意</t>
        </is>
      </c>
    </row>
    <row r="155" ht="15" customHeight="1" s="28">
      <c r="A155" s="35" t="inlineStr">
        <is>
          <t>video_duration_seconds</t>
        </is>
      </c>
      <c r="B155" s="35" t="inlineStr">
        <is>
          <t>integer</t>
        </is>
      </c>
      <c r="C155" s="36" t="n"/>
      <c r="D155" s="36" t="inlineStr">
        <is>
          <t>任意</t>
        </is>
      </c>
    </row>
    <row r="156" ht="15" customHeight="1" s="28">
      <c r="A156" s="35" t="inlineStr">
        <is>
          <t>video_size_bytes</t>
        </is>
      </c>
      <c r="B156" s="35" t="inlineStr">
        <is>
          <t>bigint</t>
        </is>
      </c>
      <c r="C156" s="36" t="n"/>
      <c r="D156" s="36" t="inlineStr">
        <is>
          <t>任意</t>
        </is>
      </c>
    </row>
    <row r="157" ht="15" customHeight="1" s="28">
      <c r="A157" s="35" t="inlineStr">
        <is>
          <t>transcript_full</t>
        </is>
      </c>
      <c r="B157" s="35" t="inlineStr">
        <is>
          <t>text</t>
        </is>
      </c>
      <c r="C157" s="36" t="inlineStr">
        <is>
          <t>全文</t>
        </is>
      </c>
      <c r="D157" s="36" t="inlineStr">
        <is>
          <t>任意</t>
        </is>
      </c>
    </row>
    <row r="158" ht="15" customHeight="1" s="28">
      <c r="A158" s="35" t="inlineStr">
        <is>
          <t>transcript_segments</t>
        </is>
      </c>
      <c r="B158" s="35" t="inlineStr">
        <is>
          <t>jsonb</t>
        </is>
      </c>
      <c r="C158" s="35" t="inlineStr">
        <is>
          <t>[{speaker, start, end, text}]</t>
        </is>
      </c>
      <c r="D158" s="36" t="inlineStr">
        <is>
          <t>任意</t>
        </is>
      </c>
    </row>
    <row r="159" ht="15" customHeight="1" s="28">
      <c r="A159" s="35" t="inlineStr">
        <is>
          <t>transcript_source</t>
        </is>
      </c>
      <c r="B159" s="35" t="inlineStr">
        <is>
          <t>text CHECK (transcript_source IN ('zoom','whisper'))</t>
        </is>
      </c>
      <c r="C159" s="36" t="n"/>
      <c r="D159" s="36" t="inlineStr">
        <is>
          <t>任意</t>
        </is>
      </c>
    </row>
    <row r="160" ht="15" customHeight="1" s="28">
      <c r="A160" s="35" t="inlineStr">
        <is>
          <t>summary</t>
        </is>
      </c>
      <c r="B160" s="35" t="inlineStr">
        <is>
          <t>text</t>
        </is>
      </c>
      <c r="C160" s="35" t="inlineStr">
        <is>
          <t>AI要約</t>
        </is>
      </c>
      <c r="D160" s="36" t="inlineStr">
        <is>
          <t>任意</t>
        </is>
      </c>
    </row>
    <row r="161" ht="15" customHeight="1" s="28">
      <c r="A161" s="35" t="inlineStr">
        <is>
          <t>key_points</t>
        </is>
      </c>
      <c r="B161" s="35" t="inlineStr">
        <is>
          <t>jsonb</t>
        </is>
      </c>
      <c r="C161" s="36" t="inlineStr">
        <is>
          <t>主要ポイント配列</t>
        </is>
      </c>
      <c r="D161" s="36" t="inlineStr">
        <is>
          <t>任意</t>
        </is>
      </c>
    </row>
    <row r="162" ht="15" customHeight="1" s="28">
      <c r="A162" s="35" t="inlineStr">
        <is>
          <t>customer_needs</t>
        </is>
      </c>
      <c r="B162" s="35" t="inlineStr">
        <is>
          <t>jsonb</t>
        </is>
      </c>
      <c r="C162" s="36" t="inlineStr">
        <is>
          <t>ニーズ抽出</t>
        </is>
      </c>
      <c r="D162" s="36" t="inlineStr">
        <is>
          <t>任意</t>
        </is>
      </c>
    </row>
    <row r="163" ht="15" customHeight="1" s="28">
      <c r="A163" s="35" t="inlineStr">
        <is>
          <t>objections</t>
        </is>
      </c>
      <c r="B163" s="35" t="inlineStr">
        <is>
          <t>jsonb</t>
        </is>
      </c>
      <c r="C163" s="36" t="inlineStr">
        <is>
          <t>反論抽出</t>
        </is>
      </c>
      <c r="D163" s="36" t="inlineStr">
        <is>
          <t>任意</t>
        </is>
      </c>
    </row>
    <row r="164" ht="15" customHeight="1" s="28">
      <c r="A164" s="35" t="inlineStr">
        <is>
          <t>next_actions</t>
        </is>
      </c>
      <c r="B164" s="35" t="inlineStr">
        <is>
          <t>jsonb</t>
        </is>
      </c>
      <c r="C164" s="36" t="inlineStr">
        <is>
          <t>次アクション</t>
        </is>
      </c>
      <c r="D164" s="36" t="inlineStr">
        <is>
          <t>任意</t>
        </is>
      </c>
    </row>
    <row r="165" ht="15" customHeight="1" s="28">
      <c r="A165" s="35" t="inlineStr">
        <is>
          <t>commitments</t>
        </is>
      </c>
      <c r="B165" s="35" t="inlineStr">
        <is>
          <t>jsonb</t>
        </is>
      </c>
      <c r="C165" s="36" t="inlineStr">
        <is>
          <t>約束事(言った言わない対策)</t>
        </is>
      </c>
      <c r="D165" s="36" t="inlineStr">
        <is>
          <t>任意</t>
        </is>
      </c>
    </row>
    <row r="166" ht="15" customHeight="1" s="28">
      <c r="A166" s="35" t="inlineStr">
        <is>
          <t>sentiment_timeline</t>
        </is>
      </c>
      <c r="B166" s="35" t="inlineStr">
        <is>
          <t>jsonb</t>
        </is>
      </c>
      <c r="C166" s="36" t="inlineStr">
        <is>
          <t>時間軸感情推移</t>
        </is>
      </c>
      <c r="D166" s="36" t="inlineStr">
        <is>
          <t>任意</t>
        </is>
      </c>
    </row>
    <row r="167" ht="23.85" customHeight="1" s="28">
      <c r="A167" s="35" t="inlineStr">
        <is>
          <t>processing_status</t>
        </is>
      </c>
      <c r="B167" s="35" t="inlineStr">
        <is>
          <t>text CHECK (processing_status IN ('pending','downloading','transcribing','analyzing','embedding','completed','failed')) DEFAULT 'pending'</t>
        </is>
      </c>
      <c r="C167" s="36" t="n"/>
      <c r="D167" s="36" t="inlineStr">
        <is>
          <t>必須</t>
        </is>
      </c>
    </row>
    <row r="168" ht="15" customHeight="1" s="28">
      <c r="A168" s="35" t="inlineStr">
        <is>
          <t>processing_error</t>
        </is>
      </c>
      <c r="B168" s="35" t="inlineStr">
        <is>
          <t>text</t>
        </is>
      </c>
      <c r="C168" s="36" t="inlineStr">
        <is>
          <t>エラー詳細</t>
        </is>
      </c>
      <c r="D168" s="36" t="inlineStr">
        <is>
          <t>任意</t>
        </is>
      </c>
    </row>
    <row r="169" ht="15" customHeight="1" s="28">
      <c r="A169" s="35" t="inlineStr">
        <is>
          <t>processed_at</t>
        </is>
      </c>
      <c r="B169" s="35" t="inlineStr">
        <is>
          <t>timestamptz</t>
        </is>
      </c>
      <c r="C169" s="36" t="n"/>
      <c r="D169" s="36" t="inlineStr">
        <is>
          <t>任意</t>
        </is>
      </c>
    </row>
    <row r="170" ht="15" customHeight="1" s="28">
      <c r="A170" s="35" t="inlineStr">
        <is>
          <t>created_at</t>
        </is>
      </c>
      <c r="B170" s="35" t="inlineStr">
        <is>
          <t>timestamptz DEFAULT now()</t>
        </is>
      </c>
      <c r="C170" s="36" t="n"/>
      <c r="D170" s="36" t="inlineStr">
        <is>
          <t>必須</t>
        </is>
      </c>
    </row>
    <row r="171" ht="15" customHeight="1" s="28">
      <c r="A171" s="35" t="inlineStr">
        <is>
          <t>INDEX</t>
        </is>
      </c>
      <c r="B171" s="35" t="inlineStr">
        <is>
          <t>recordings_status_idx, recordings_meeting_idx</t>
        </is>
      </c>
      <c r="C171" s="36" t="n"/>
      <c r="D171" s="36" t="n"/>
    </row>
    <row r="173" ht="21.75" customHeight="1" s="28">
      <c r="A173" s="47" t="inlineStr">
        <is>
          <t>▼ recording_clips</t>
        </is>
      </c>
    </row>
    <row r="174" ht="27.75" customHeight="1" s="28">
      <c r="A174" s="34" t="inlineStr">
        <is>
          <t>カラム</t>
        </is>
      </c>
      <c r="B174" s="34" t="inlineStr">
        <is>
          <t>型</t>
        </is>
      </c>
      <c r="C174" s="34" t="inlineStr">
        <is>
          <t>説明</t>
        </is>
      </c>
      <c r="D174" s="34" t="inlineStr">
        <is>
          <t>必須</t>
        </is>
      </c>
    </row>
    <row r="175" ht="15" customHeight="1" s="28">
      <c r="A175" s="35" t="inlineStr">
        <is>
          <t>id</t>
        </is>
      </c>
      <c r="B175" s="35" t="inlineStr">
        <is>
          <t>uuid PRIMARY KEY DEFAULT gen_random_uuid()</t>
        </is>
      </c>
      <c r="C175" s="36" t="n"/>
      <c r="D175" s="36" t="inlineStr">
        <is>
          <t>必須</t>
        </is>
      </c>
    </row>
    <row r="176" ht="15" customHeight="1" s="28">
      <c r="A176" s="35" t="inlineStr">
        <is>
          <t>recording_id</t>
        </is>
      </c>
      <c r="B176" s="35" t="inlineStr">
        <is>
          <t>uuid REFERENCES recordings(id) NOT NULL</t>
        </is>
      </c>
      <c r="C176" s="36" t="n"/>
      <c r="D176" s="36" t="inlineStr">
        <is>
          <t>必須</t>
        </is>
      </c>
    </row>
    <row r="177" ht="15" customHeight="1" s="28">
      <c r="A177" s="35" t="inlineStr">
        <is>
          <t>start_seconds</t>
        </is>
      </c>
      <c r="B177" s="35" t="inlineStr">
        <is>
          <t>integer NOT NULL</t>
        </is>
      </c>
      <c r="C177" s="36" t="n"/>
      <c r="D177" s="36" t="inlineStr">
        <is>
          <t>必須</t>
        </is>
      </c>
    </row>
    <row r="178" ht="15" customHeight="1" s="28">
      <c r="A178" s="35" t="inlineStr">
        <is>
          <t>end_seconds</t>
        </is>
      </c>
      <c r="B178" s="35" t="inlineStr">
        <is>
          <t>integer NOT NULL</t>
        </is>
      </c>
      <c r="C178" s="36" t="n"/>
      <c r="D178" s="36" t="inlineStr">
        <is>
          <t>必須</t>
        </is>
      </c>
    </row>
    <row r="179" ht="15" customHeight="1" s="28">
      <c r="A179" s="35" t="inlineStr">
        <is>
          <t>title</t>
        </is>
      </c>
      <c r="B179" s="35" t="inlineStr">
        <is>
          <t>text</t>
        </is>
      </c>
      <c r="C179" s="36" t="n"/>
      <c r="D179" s="36" t="inlineStr">
        <is>
          <t>任意</t>
        </is>
      </c>
    </row>
    <row r="180" ht="15" customHeight="1" s="28">
      <c r="A180" s="35" t="inlineStr">
        <is>
          <t>clip_storage_url</t>
        </is>
      </c>
      <c r="B180" s="35" t="inlineStr">
        <is>
          <t>text</t>
        </is>
      </c>
      <c r="C180" s="35" t="inlineStr">
        <is>
          <t>R2 切り出し動画URL</t>
        </is>
      </c>
      <c r="D180" s="36" t="inlineStr">
        <is>
          <t>任意</t>
        </is>
      </c>
    </row>
    <row r="181" ht="15" customHeight="1" s="28">
      <c r="A181" s="35" t="inlineStr">
        <is>
          <t>created_by</t>
        </is>
      </c>
      <c r="B181" s="35" t="inlineStr">
        <is>
          <t>uuid REFERENCES users(id) NOT NULL</t>
        </is>
      </c>
      <c r="C181" s="36" t="n"/>
      <c r="D181" s="36" t="inlineStr">
        <is>
          <t>必須</t>
        </is>
      </c>
    </row>
    <row r="182" ht="15" customHeight="1" s="28">
      <c r="A182" s="35" t="inlineStr">
        <is>
          <t>created_at</t>
        </is>
      </c>
      <c r="B182" s="35" t="inlineStr">
        <is>
          <t>timestamptz DEFAULT now()</t>
        </is>
      </c>
      <c r="C182" s="36" t="n"/>
      <c r="D182" s="36" t="inlineStr">
        <is>
          <t>必須</t>
        </is>
      </c>
    </row>
    <row r="184" ht="21.75" customHeight="1" s="28">
      <c r="A184" s="47" t="inlineStr">
        <is>
          <t>▼ email_threads</t>
        </is>
      </c>
    </row>
    <row r="185" ht="27.75" customHeight="1" s="28">
      <c r="A185" s="34" t="inlineStr">
        <is>
          <t>カラム</t>
        </is>
      </c>
      <c r="B185" s="34" t="inlineStr">
        <is>
          <t>型</t>
        </is>
      </c>
      <c r="C185" s="34" t="inlineStr">
        <is>
          <t>説明</t>
        </is>
      </c>
      <c r="D185" s="34" t="inlineStr">
        <is>
          <t>必須</t>
        </is>
      </c>
    </row>
    <row r="186" ht="15" customHeight="1" s="28">
      <c r="A186" s="35" t="inlineStr">
        <is>
          <t>id</t>
        </is>
      </c>
      <c r="B186" s="35" t="inlineStr">
        <is>
          <t>uuid PRIMARY KEY DEFAULT gen_random_uuid()</t>
        </is>
      </c>
      <c r="C186" s="36" t="n"/>
      <c r="D186" s="36" t="inlineStr">
        <is>
          <t>必須</t>
        </is>
      </c>
    </row>
    <row r="187" ht="15" customHeight="1" s="28">
      <c r="A187" s="35" t="inlineStr">
        <is>
          <t>contact_id</t>
        </is>
      </c>
      <c r="B187" s="35" t="inlineStr">
        <is>
          <t>uuid REFERENCES contacts(id)</t>
        </is>
      </c>
      <c r="C187" s="36" t="n"/>
      <c r="D187" s="36" t="inlineStr">
        <is>
          <t>任意</t>
        </is>
      </c>
    </row>
    <row r="188" ht="15" customHeight="1" s="28">
      <c r="A188" s="35" t="inlineStr">
        <is>
          <t>meeting_id</t>
        </is>
      </c>
      <c r="B188" s="35" t="inlineStr">
        <is>
          <t>uuid REFERENCES meetings(id)</t>
        </is>
      </c>
      <c r="C188" s="36" t="n"/>
      <c r="D188" s="36" t="inlineStr">
        <is>
          <t>任意</t>
        </is>
      </c>
    </row>
    <row r="189" ht="15" customHeight="1" s="28">
      <c r="A189" s="35" t="inlineStr">
        <is>
          <t>owner_user_id</t>
        </is>
      </c>
      <c r="B189" s="35" t="inlineStr">
        <is>
          <t>uuid REFERENCES users(id) NOT NULL</t>
        </is>
      </c>
      <c r="C189" s="36" t="n"/>
      <c r="D189" s="36" t="inlineStr">
        <is>
          <t>必須</t>
        </is>
      </c>
    </row>
    <row r="190" ht="15" customHeight="1" s="28">
      <c r="A190" s="35" t="inlineStr">
        <is>
          <t>gmail_thread_id</t>
        </is>
      </c>
      <c r="B190" s="35" t="inlineStr">
        <is>
          <t>text NOT NULL</t>
        </is>
      </c>
      <c r="C190" s="35" t="inlineStr">
        <is>
          <t>Gmail側ID</t>
        </is>
      </c>
      <c r="D190" s="36" t="inlineStr">
        <is>
          <t>必須</t>
        </is>
      </c>
    </row>
    <row r="191" ht="15" customHeight="1" s="28">
      <c r="A191" s="35" t="inlineStr">
        <is>
          <t>subject</t>
        </is>
      </c>
      <c r="B191" s="35" t="inlineStr">
        <is>
          <t>text</t>
        </is>
      </c>
      <c r="C191" s="36" t="n"/>
      <c r="D191" s="36" t="inlineStr">
        <is>
          <t>任意</t>
        </is>
      </c>
    </row>
    <row r="192" ht="15" customHeight="1" s="28">
      <c r="A192" s="35" t="inlineStr">
        <is>
          <t>purpose</t>
        </is>
      </c>
      <c r="B192" s="35" t="inlineStr">
        <is>
          <t>text CHECK (purpose IN ('scheduling','follow_up','kickoff','general'))</t>
        </is>
      </c>
      <c r="C192" s="36" t="n"/>
      <c r="D192" s="36" t="inlineStr">
        <is>
          <t>必須</t>
        </is>
      </c>
    </row>
    <row r="193" ht="15" customHeight="1" s="28">
      <c r="A193" s="35" t="inlineStr">
        <is>
          <t>scheduling_state</t>
        </is>
      </c>
      <c r="B193" s="35" t="inlineStr">
        <is>
          <t>jsonb</t>
        </is>
      </c>
      <c r="C193" s="36" t="inlineStr">
        <is>
          <t>日程調整の状態(後述)</t>
        </is>
      </c>
      <c r="D193" s="36" t="inlineStr">
        <is>
          <t>任意</t>
        </is>
      </c>
    </row>
    <row r="194" ht="15" customHeight="1" s="28">
      <c r="A194" s="35" t="inlineStr">
        <is>
          <t>last_message_at</t>
        </is>
      </c>
      <c r="B194" s="35" t="inlineStr">
        <is>
          <t>timestamptz</t>
        </is>
      </c>
      <c r="C194" s="36" t="n"/>
      <c r="D194" s="36" t="inlineStr">
        <is>
          <t>任意</t>
        </is>
      </c>
    </row>
    <row r="195" ht="15" customHeight="1" s="28">
      <c r="A195" s="35" t="inlineStr">
        <is>
          <t>is_active</t>
        </is>
      </c>
      <c r="B195" s="35" t="inlineStr">
        <is>
          <t>boolean DEFAULT true</t>
        </is>
      </c>
      <c r="C195" s="36" t="n"/>
      <c r="D195" s="36" t="inlineStr">
        <is>
          <t>必須</t>
        </is>
      </c>
    </row>
    <row r="196" ht="15" customHeight="1" s="28">
      <c r="A196" s="35" t="inlineStr">
        <is>
          <t>created_at</t>
        </is>
      </c>
      <c r="B196" s="35" t="inlineStr">
        <is>
          <t>timestamptz DEFAULT now()</t>
        </is>
      </c>
      <c r="C196" s="36" t="n"/>
      <c r="D196" s="36" t="inlineStr">
        <is>
          <t>必須</t>
        </is>
      </c>
    </row>
    <row r="197" ht="15" customHeight="1" s="28">
      <c r="A197" s="35" t="inlineStr">
        <is>
          <t>UNIQUE</t>
        </is>
      </c>
      <c r="B197" s="35" t="inlineStr">
        <is>
          <t>(owner_user_id, gmail_thread_id)</t>
        </is>
      </c>
      <c r="C197" s="36" t="n"/>
      <c r="D197" s="36" t="n"/>
    </row>
    <row r="199" ht="21.75" customHeight="1" s="28">
      <c r="A199" s="47" t="inlineStr">
        <is>
          <t>▼ email_messages</t>
        </is>
      </c>
    </row>
    <row r="200" ht="27.75" customHeight="1" s="28">
      <c r="A200" s="34" t="inlineStr">
        <is>
          <t>カラム</t>
        </is>
      </c>
      <c r="B200" s="34" t="inlineStr">
        <is>
          <t>型</t>
        </is>
      </c>
      <c r="C200" s="34" t="inlineStr">
        <is>
          <t>説明</t>
        </is>
      </c>
      <c r="D200" s="34" t="inlineStr">
        <is>
          <t>必須</t>
        </is>
      </c>
    </row>
    <row r="201" ht="15" customHeight="1" s="28">
      <c r="A201" s="35" t="inlineStr">
        <is>
          <t>id</t>
        </is>
      </c>
      <c r="B201" s="35" t="inlineStr">
        <is>
          <t>uuid PRIMARY KEY DEFAULT gen_random_uuid()</t>
        </is>
      </c>
      <c r="C201" s="36" t="n"/>
      <c r="D201" s="36" t="inlineStr">
        <is>
          <t>必須</t>
        </is>
      </c>
    </row>
    <row r="202" ht="15" customHeight="1" s="28">
      <c r="A202" s="35" t="inlineStr">
        <is>
          <t>thread_id</t>
        </is>
      </c>
      <c r="B202" s="35" t="inlineStr">
        <is>
          <t>uuid REFERENCES email_threads(id) ON DELETE CASCADE NOT NULL</t>
        </is>
      </c>
      <c r="C202" s="36" t="n"/>
      <c r="D202" s="36" t="inlineStr">
        <is>
          <t>必須</t>
        </is>
      </c>
    </row>
    <row r="203" ht="15" customHeight="1" s="28">
      <c r="A203" s="35" t="inlineStr">
        <is>
          <t>gmail_message_id</t>
        </is>
      </c>
      <c r="B203" s="35" t="inlineStr">
        <is>
          <t>text NOT NULL UNIQUE</t>
        </is>
      </c>
      <c r="C203" s="36" t="n"/>
      <c r="D203" s="36" t="inlineStr">
        <is>
          <t>必須</t>
        </is>
      </c>
    </row>
    <row r="204" ht="15" customHeight="1" s="28">
      <c r="A204" s="35" t="inlineStr">
        <is>
          <t>direction</t>
        </is>
      </c>
      <c r="B204" s="35" t="inlineStr">
        <is>
          <t>text CHECK (direction IN ('inbound','outbound'))</t>
        </is>
      </c>
      <c r="C204" s="36" t="n"/>
      <c r="D204" s="36" t="inlineStr">
        <is>
          <t>必須</t>
        </is>
      </c>
    </row>
    <row r="205" ht="15" customHeight="1" s="28">
      <c r="A205" s="35" t="inlineStr">
        <is>
          <t>from_address</t>
        </is>
      </c>
      <c r="B205" s="35" t="inlineStr">
        <is>
          <t>text NOT NULL</t>
        </is>
      </c>
      <c r="C205" s="36" t="n"/>
      <c r="D205" s="36" t="inlineStr">
        <is>
          <t>必須</t>
        </is>
      </c>
    </row>
    <row r="206" ht="15" customHeight="1" s="28">
      <c r="A206" s="35" t="inlineStr">
        <is>
          <t>to_addresses</t>
        </is>
      </c>
      <c r="B206" s="35" t="inlineStr">
        <is>
          <t>text[]</t>
        </is>
      </c>
      <c r="C206" s="36" t="n"/>
      <c r="D206" s="36" t="inlineStr">
        <is>
          <t>必須</t>
        </is>
      </c>
    </row>
    <row r="207" ht="15" customHeight="1" s="28">
      <c r="A207" s="35" t="inlineStr">
        <is>
          <t>cc_addresses</t>
        </is>
      </c>
      <c r="B207" s="35" t="inlineStr">
        <is>
          <t>text[]</t>
        </is>
      </c>
      <c r="C207" s="36" t="n"/>
      <c r="D207" s="36" t="inlineStr">
        <is>
          <t>任意</t>
        </is>
      </c>
    </row>
    <row r="208" ht="15" customHeight="1" s="28">
      <c r="A208" s="35" t="inlineStr">
        <is>
          <t>subject</t>
        </is>
      </c>
      <c r="B208" s="35" t="inlineStr">
        <is>
          <t>text</t>
        </is>
      </c>
      <c r="C208" s="36" t="n"/>
      <c r="D208" s="36" t="inlineStr">
        <is>
          <t>任意</t>
        </is>
      </c>
    </row>
    <row r="209" ht="15" customHeight="1" s="28">
      <c r="A209" s="35" t="inlineStr">
        <is>
          <t>body_text</t>
        </is>
      </c>
      <c r="B209" s="35" t="inlineStr">
        <is>
          <t>text</t>
        </is>
      </c>
      <c r="C209" s="36" t="n"/>
      <c r="D209" s="36" t="inlineStr">
        <is>
          <t>任意</t>
        </is>
      </c>
    </row>
    <row r="210" ht="15" customHeight="1" s="28">
      <c r="A210" s="35" t="inlineStr">
        <is>
          <t>body_html</t>
        </is>
      </c>
      <c r="B210" s="35" t="inlineStr">
        <is>
          <t>text</t>
        </is>
      </c>
      <c r="C210" s="36" t="n"/>
      <c r="D210" s="36" t="inlineStr">
        <is>
          <t>任意</t>
        </is>
      </c>
    </row>
    <row r="211" ht="15" customHeight="1" s="28">
      <c r="A211" s="35" t="inlineStr">
        <is>
          <t>received_at</t>
        </is>
      </c>
      <c r="B211" s="35" t="inlineStr">
        <is>
          <t>timestamptz</t>
        </is>
      </c>
      <c r="C211" s="36" t="n"/>
      <c r="D211" s="36" t="inlineStr">
        <is>
          <t>必須</t>
        </is>
      </c>
    </row>
    <row r="212" ht="15" customHeight="1" s="28">
      <c r="A212" s="35" t="inlineStr">
        <is>
          <t>parsed_intent</t>
        </is>
      </c>
      <c r="B212" s="35" t="inlineStr">
        <is>
          <t>jsonb</t>
        </is>
      </c>
      <c r="C212" s="36" t="inlineStr">
        <is>
          <t>パース結果(日程提案/承諾/拒否等)</t>
        </is>
      </c>
      <c r="D212" s="36" t="inlineStr">
        <is>
          <t>任意</t>
        </is>
      </c>
    </row>
    <row r="213" ht="15" customHeight="1" s="28">
      <c r="A213" s="35" t="inlineStr">
        <is>
          <t>parse_confidence</t>
        </is>
      </c>
      <c r="B213" s="35" t="inlineStr">
        <is>
          <t>numeric(3,2)</t>
        </is>
      </c>
      <c r="C213" s="36" t="n"/>
      <c r="D213" s="36" t="inlineStr">
        <is>
          <t>任意</t>
        </is>
      </c>
    </row>
    <row r="215" ht="21.75" customHeight="1" s="28">
      <c r="A215" s="47" t="inlineStr">
        <is>
          <t>▼ email_templates</t>
        </is>
      </c>
    </row>
    <row r="216" ht="27.75" customHeight="1" s="28">
      <c r="A216" s="34" t="inlineStr">
        <is>
          <t>カラム</t>
        </is>
      </c>
      <c r="B216" s="34" t="inlineStr">
        <is>
          <t>型</t>
        </is>
      </c>
      <c r="C216" s="34" t="inlineStr">
        <is>
          <t>説明</t>
        </is>
      </c>
      <c r="D216" s="34" t="inlineStr">
        <is>
          <t>必須</t>
        </is>
      </c>
    </row>
    <row r="217" ht="15" customHeight="1" s="28">
      <c r="A217" s="35" t="inlineStr">
        <is>
          <t>id</t>
        </is>
      </c>
      <c r="B217" s="35" t="inlineStr">
        <is>
          <t>uuid PRIMARY KEY DEFAULT gen_random_uuid()</t>
        </is>
      </c>
      <c r="C217" s="36" t="n"/>
      <c r="D217" s="36" t="inlineStr">
        <is>
          <t>必須</t>
        </is>
      </c>
    </row>
    <row r="218" ht="15" customHeight="1" s="28">
      <c r="A218" s="35" t="inlineStr">
        <is>
          <t>owner_user_id</t>
        </is>
      </c>
      <c r="B218" s="35" t="inlineStr">
        <is>
          <t>uuid REFERENCES users(id)</t>
        </is>
      </c>
      <c r="C218" s="35" t="inlineStr">
        <is>
          <t>NULLは組織共通</t>
        </is>
      </c>
      <c r="D218" s="36" t="inlineStr">
        <is>
          <t>任意</t>
        </is>
      </c>
    </row>
    <row r="219" ht="15" customHeight="1" s="28">
      <c r="A219" s="35" t="inlineStr">
        <is>
          <t>name</t>
        </is>
      </c>
      <c r="B219" s="35" t="inlineStr">
        <is>
          <t>text NOT NULL</t>
        </is>
      </c>
      <c r="C219" s="36" t="n"/>
      <c r="D219" s="36" t="inlineStr">
        <is>
          <t>必須</t>
        </is>
      </c>
    </row>
    <row r="220" ht="15" customHeight="1" s="28">
      <c r="A220" s="35" t="inlineStr">
        <is>
          <t>purpose</t>
        </is>
      </c>
      <c r="B220" s="35" t="inlineStr">
        <is>
          <t>text NOT NULL</t>
        </is>
      </c>
      <c r="C220" s="36" t="inlineStr">
        <is>
          <t>日程調整初回/2回目/お礼等</t>
        </is>
      </c>
      <c r="D220" s="36" t="inlineStr">
        <is>
          <t>必須</t>
        </is>
      </c>
    </row>
    <row r="221" ht="15" customHeight="1" s="28">
      <c r="A221" s="35" t="inlineStr">
        <is>
          <t>subject_template</t>
        </is>
      </c>
      <c r="B221" s="35" t="inlineStr">
        <is>
          <t>text NOT NULL</t>
        </is>
      </c>
      <c r="C221" s="35" t="inlineStr">
        <is>
          <t>{{name}}等のプレースホルダ可</t>
        </is>
      </c>
      <c r="D221" s="36" t="inlineStr">
        <is>
          <t>必須</t>
        </is>
      </c>
    </row>
    <row r="222" ht="15" customHeight="1" s="28">
      <c r="A222" s="35" t="inlineStr">
        <is>
          <t>body_template</t>
        </is>
      </c>
      <c r="B222" s="35" t="inlineStr">
        <is>
          <t>text NOT NULL</t>
        </is>
      </c>
      <c r="C222" s="36" t="n"/>
      <c r="D222" s="36" t="inlineStr">
        <is>
          <t>必須</t>
        </is>
      </c>
    </row>
    <row r="223" ht="15" customHeight="1" s="28">
      <c r="A223" s="35" t="inlineStr">
        <is>
          <t>variables</t>
        </is>
      </c>
      <c r="B223" s="35" t="inlineStr">
        <is>
          <t>jsonb</t>
        </is>
      </c>
      <c r="C223" s="36" t="inlineStr">
        <is>
          <t>使えるプレースホルダ定義</t>
        </is>
      </c>
      <c r="D223" s="36" t="inlineStr">
        <is>
          <t>任意</t>
        </is>
      </c>
    </row>
    <row r="224" ht="15" customHeight="1" s="28">
      <c r="A224" s="35" t="inlineStr">
        <is>
          <t>created_at</t>
        </is>
      </c>
      <c r="B224" s="35" t="inlineStr">
        <is>
          <t>timestamptz DEFAULT now()</t>
        </is>
      </c>
      <c r="C224" s="36" t="n"/>
      <c r="D224" s="36" t="inlineStr">
        <is>
          <t>必須</t>
        </is>
      </c>
    </row>
    <row r="226" ht="21.75" customHeight="1" s="28">
      <c r="A226" s="47" t="inlineStr">
        <is>
          <t>▼ scheduling_proposals</t>
        </is>
      </c>
    </row>
    <row r="227" ht="27.75" customHeight="1" s="28">
      <c r="A227" s="34" t="inlineStr">
        <is>
          <t>カラム</t>
        </is>
      </c>
      <c r="B227" s="34" t="inlineStr">
        <is>
          <t>型</t>
        </is>
      </c>
      <c r="C227" s="34" t="inlineStr">
        <is>
          <t>説明</t>
        </is>
      </c>
      <c r="D227" s="34" t="inlineStr">
        <is>
          <t>必須</t>
        </is>
      </c>
    </row>
    <row r="228" ht="15" customHeight="1" s="28">
      <c r="A228" s="35" t="inlineStr">
        <is>
          <t>id</t>
        </is>
      </c>
      <c r="B228" s="35" t="inlineStr">
        <is>
          <t>uuid PRIMARY KEY DEFAULT gen_random_uuid()</t>
        </is>
      </c>
      <c r="C228" s="36" t="n"/>
      <c r="D228" s="36" t="inlineStr">
        <is>
          <t>必須</t>
        </is>
      </c>
    </row>
    <row r="229" ht="15" customHeight="1" s="28">
      <c r="A229" s="35" t="inlineStr">
        <is>
          <t>thread_id</t>
        </is>
      </c>
      <c r="B229" s="35" t="inlineStr">
        <is>
          <t>uuid REFERENCES email_threads(id) NOT NULL</t>
        </is>
      </c>
      <c r="C229" s="36" t="n"/>
      <c r="D229" s="36" t="inlineStr">
        <is>
          <t>必須</t>
        </is>
      </c>
    </row>
    <row r="230" ht="15" customHeight="1" s="28">
      <c r="A230" s="35" t="inlineStr">
        <is>
          <t>proposed_slots</t>
        </is>
      </c>
      <c r="B230" s="35" t="inlineStr">
        <is>
          <t>jsonb NOT NULL</t>
        </is>
      </c>
      <c r="C230" s="35" t="inlineStr">
        <is>
          <t>[{start_at, end_at}]</t>
        </is>
      </c>
      <c r="D230" s="36" t="inlineStr">
        <is>
          <t>必須</t>
        </is>
      </c>
    </row>
    <row r="231" ht="15" customHeight="1" s="28">
      <c r="A231" s="35" t="inlineStr">
        <is>
          <t>selected_slot</t>
        </is>
      </c>
      <c r="B231" s="35" t="inlineStr">
        <is>
          <t>jsonb</t>
        </is>
      </c>
      <c r="C231" s="36" t="inlineStr">
        <is>
          <t>顧客が選んだ枠</t>
        </is>
      </c>
      <c r="D231" s="36" t="inlineStr">
        <is>
          <t>任意</t>
        </is>
      </c>
    </row>
    <row r="232" ht="15" customHeight="1" s="28">
      <c r="A232" s="35" t="inlineStr">
        <is>
          <t>parse_status</t>
        </is>
      </c>
      <c r="B232" s="35" t="inlineStr">
        <is>
          <t>text CHECK (parse_status IN ('awaiting_reply','parsed','needs_review','expired','cancelled'))</t>
        </is>
      </c>
      <c r="C232" s="36" t="n"/>
      <c r="D232" s="36" t="inlineStr">
        <is>
          <t>必須</t>
        </is>
      </c>
    </row>
    <row r="233" ht="15" customHeight="1" s="28">
      <c r="A233" s="35" t="inlineStr">
        <is>
          <t>needs_review_reason</t>
        </is>
      </c>
      <c r="B233" s="35" t="inlineStr">
        <is>
          <t>text</t>
        </is>
      </c>
      <c r="C233" s="36" t="inlineStr">
        <is>
          <t>人手確認が必要な理由</t>
        </is>
      </c>
      <c r="D233" s="36" t="inlineStr">
        <is>
          <t>任意</t>
        </is>
      </c>
    </row>
    <row r="234" ht="15" customHeight="1" s="28">
      <c r="A234" s="35" t="inlineStr">
        <is>
          <t>created_at</t>
        </is>
      </c>
      <c r="B234" s="35" t="inlineStr">
        <is>
          <t>timestamptz DEFAULT now()</t>
        </is>
      </c>
      <c r="C234" s="36" t="n"/>
      <c r="D234" s="36" t="inlineStr">
        <is>
          <t>必須</t>
        </is>
      </c>
    </row>
    <row r="236" ht="21.75" customHeight="1" s="28">
      <c r="A236" s="47" t="inlineStr">
        <is>
          <t>▼ contracts</t>
        </is>
      </c>
    </row>
    <row r="237" ht="27.75" customHeight="1" s="28">
      <c r="A237" s="34" t="inlineStr">
        <is>
          <t>カラム</t>
        </is>
      </c>
      <c r="B237" s="34" t="inlineStr">
        <is>
          <t>型</t>
        </is>
      </c>
      <c r="C237" s="34" t="inlineStr">
        <is>
          <t>説明</t>
        </is>
      </c>
      <c r="D237" s="34" t="inlineStr">
        <is>
          <t>必須</t>
        </is>
      </c>
    </row>
    <row r="238" ht="15" customHeight="1" s="28">
      <c r="A238" s="35" t="inlineStr">
        <is>
          <t>id</t>
        </is>
      </c>
      <c r="B238" s="35" t="inlineStr">
        <is>
          <t>uuid PRIMARY KEY DEFAULT gen_random_uuid()</t>
        </is>
      </c>
      <c r="C238" s="36" t="n"/>
      <c r="D238" s="36" t="inlineStr">
        <is>
          <t>必須</t>
        </is>
      </c>
    </row>
    <row r="239" ht="15" customHeight="1" s="28">
      <c r="A239" s="35" t="inlineStr">
        <is>
          <t>company_id</t>
        </is>
      </c>
      <c r="B239" s="35" t="inlineStr">
        <is>
          <t>uuid REFERENCES companies(id) NOT NULL</t>
        </is>
      </c>
      <c r="C239" s="36" t="n"/>
      <c r="D239" s="36" t="inlineStr">
        <is>
          <t>必須</t>
        </is>
      </c>
    </row>
    <row r="240" ht="15" customHeight="1" s="28">
      <c r="A240" s="35" t="inlineStr">
        <is>
          <t>contract_number</t>
        </is>
      </c>
      <c r="B240" s="35" t="inlineStr">
        <is>
          <t>text</t>
        </is>
      </c>
      <c r="C240" s="36" t="inlineStr">
        <is>
          <t>契約番号</t>
        </is>
      </c>
      <c r="D240" s="36" t="inlineStr">
        <is>
          <t>任意</t>
        </is>
      </c>
    </row>
    <row r="241" ht="15" customHeight="1" s="28">
      <c r="A241" s="35" t="inlineStr">
        <is>
          <t>product</t>
        </is>
      </c>
      <c r="B241" s="35" t="inlineStr">
        <is>
          <t>text</t>
        </is>
      </c>
      <c r="C241" s="36" t="n"/>
      <c r="D241" s="36" t="inlineStr">
        <is>
          <t>任意</t>
        </is>
      </c>
    </row>
    <row r="242" ht="15" customHeight="1" s="28">
      <c r="A242" s="35" t="inlineStr">
        <is>
          <t>amount</t>
        </is>
      </c>
      <c r="B242" s="35" t="inlineStr">
        <is>
          <t>integer</t>
        </is>
      </c>
      <c r="C242" s="36" t="n"/>
      <c r="D242" s="36" t="inlineStr">
        <is>
          <t>任意</t>
        </is>
      </c>
    </row>
    <row r="243" ht="15" customHeight="1" s="28">
      <c r="A243" s="35" t="inlineStr">
        <is>
          <t>start_date</t>
        </is>
      </c>
      <c r="B243" s="35" t="inlineStr">
        <is>
          <t>date</t>
        </is>
      </c>
      <c r="C243" s="36" t="n"/>
      <c r="D243" s="36" t="inlineStr">
        <is>
          <t>任意</t>
        </is>
      </c>
    </row>
    <row r="244" ht="15" customHeight="1" s="28">
      <c r="A244" s="35" t="inlineStr">
        <is>
          <t>end_date</t>
        </is>
      </c>
      <c r="B244" s="35" t="inlineStr">
        <is>
          <t>date</t>
        </is>
      </c>
      <c r="C244" s="36" t="n"/>
      <c r="D244" s="36" t="inlineStr">
        <is>
          <t>任意</t>
        </is>
      </c>
    </row>
    <row r="245" ht="15" customHeight="1" s="28">
      <c r="A245" s="35" t="inlineStr">
        <is>
          <t>document_url</t>
        </is>
      </c>
      <c r="B245" s="35" t="inlineStr">
        <is>
          <t>text</t>
        </is>
      </c>
      <c r="C245" s="36" t="inlineStr">
        <is>
          <t>契約書PDF</t>
        </is>
      </c>
      <c r="D245" s="36" t="inlineStr">
        <is>
          <t>任意</t>
        </is>
      </c>
    </row>
    <row r="246" ht="15" customHeight="1" s="28">
      <c r="A246" s="35" t="inlineStr">
        <is>
          <t>cs_owner_user_id</t>
        </is>
      </c>
      <c r="B246" s="35" t="inlineStr">
        <is>
          <t>uuid REFERENCES users(id)</t>
        </is>
      </c>
      <c r="C246" s="35" t="inlineStr">
        <is>
          <t>CS担当</t>
        </is>
      </c>
      <c r="D246" s="36" t="inlineStr">
        <is>
          <t>任意</t>
        </is>
      </c>
    </row>
    <row r="247" ht="15" customHeight="1" s="28">
      <c r="A247" s="35" t="inlineStr">
        <is>
          <t>sales_owner_user_id</t>
        </is>
      </c>
      <c r="B247" s="35" t="inlineStr">
        <is>
          <t>uuid REFERENCES users(id)</t>
        </is>
      </c>
      <c r="C247" s="36" t="inlineStr">
        <is>
          <t>営業担当(履歴用)</t>
        </is>
      </c>
      <c r="D247" s="36" t="inlineStr">
        <is>
          <t>任意</t>
        </is>
      </c>
    </row>
    <row r="248" ht="15" customHeight="1" s="28">
      <c r="A248" s="35" t="inlineStr">
        <is>
          <t>created_at</t>
        </is>
      </c>
      <c r="B248" s="35" t="inlineStr">
        <is>
          <t>timestamptz DEFAULT now()</t>
        </is>
      </c>
      <c r="C248" s="36" t="n"/>
      <c r="D248" s="36" t="inlineStr">
        <is>
          <t>必須</t>
        </is>
      </c>
    </row>
    <row r="250" ht="21.75" customHeight="1" s="28">
      <c r="A250" s="47" t="inlineStr">
        <is>
          <t>▼ handoffs</t>
        </is>
      </c>
    </row>
    <row r="251" ht="27.75" customHeight="1" s="28">
      <c r="A251" s="34" t="inlineStr">
        <is>
          <t>カラム</t>
        </is>
      </c>
      <c r="B251" s="34" t="inlineStr">
        <is>
          <t>型</t>
        </is>
      </c>
      <c r="C251" s="34" t="inlineStr">
        <is>
          <t>説明</t>
        </is>
      </c>
      <c r="D251" s="34" t="inlineStr">
        <is>
          <t>必須</t>
        </is>
      </c>
    </row>
    <row r="252" ht="15" customHeight="1" s="28">
      <c r="A252" s="35" t="inlineStr">
        <is>
          <t>id</t>
        </is>
      </c>
      <c r="B252" s="35" t="inlineStr">
        <is>
          <t>uuid PRIMARY KEY DEFAULT gen_random_uuid()</t>
        </is>
      </c>
      <c r="C252" s="36" t="n"/>
      <c r="D252" s="36" t="inlineStr">
        <is>
          <t>必須</t>
        </is>
      </c>
    </row>
    <row r="253" ht="15" customHeight="1" s="28">
      <c r="A253" s="35" t="inlineStr">
        <is>
          <t>contract_id</t>
        </is>
      </c>
      <c r="B253" s="35" t="inlineStr">
        <is>
          <t>uuid REFERENCES contracts(id) NOT NULL</t>
        </is>
      </c>
      <c r="C253" s="36" t="n"/>
      <c r="D253" s="36" t="inlineStr">
        <is>
          <t>必須</t>
        </is>
      </c>
    </row>
    <row r="254" ht="15" customHeight="1" s="28">
      <c r="A254" s="35" t="inlineStr">
        <is>
          <t>from_user_id</t>
        </is>
      </c>
      <c r="B254" s="35" t="inlineStr">
        <is>
          <t>uuid REFERENCES users(id) NOT NULL</t>
        </is>
      </c>
      <c r="C254" s="36" t="inlineStr">
        <is>
          <t>営業</t>
        </is>
      </c>
      <c r="D254" s="36" t="inlineStr">
        <is>
          <t>必須</t>
        </is>
      </c>
    </row>
    <row r="255" ht="15" customHeight="1" s="28">
      <c r="A255" s="35" t="inlineStr">
        <is>
          <t>to_user_id</t>
        </is>
      </c>
      <c r="B255" s="35" t="inlineStr">
        <is>
          <t>uuid REFERENCES users(id) NOT NULL</t>
        </is>
      </c>
      <c r="C255" s="35" t="inlineStr">
        <is>
          <t>CS</t>
        </is>
      </c>
      <c r="D255" s="36" t="inlineStr">
        <is>
          <t>必須</t>
        </is>
      </c>
    </row>
    <row r="256" ht="15" customHeight="1" s="28">
      <c r="A256" s="35" t="inlineStr">
        <is>
          <t>content</t>
        </is>
      </c>
      <c r="B256" s="35" t="inlineStr">
        <is>
          <t>jsonb NOT NULL</t>
        </is>
      </c>
      <c r="C256" s="36" t="inlineStr">
        <is>
          <t>構造化引き継ぎ書(後述スキーマ)</t>
        </is>
      </c>
      <c r="D256" s="36" t="inlineStr">
        <is>
          <t>必須</t>
        </is>
      </c>
    </row>
    <row r="257" ht="15" customHeight="1" s="28">
      <c r="A257" s="35" t="inlineStr">
        <is>
          <t>status</t>
        </is>
      </c>
      <c r="B257" s="35" t="inlineStr">
        <is>
          <t>text CHECK (status IN ('draft','submitted','accepted','revised'))</t>
        </is>
      </c>
      <c r="C257" s="36" t="n"/>
      <c r="D257" s="36" t="inlineStr">
        <is>
          <t>必須</t>
        </is>
      </c>
    </row>
    <row r="258" ht="15" customHeight="1" s="28">
      <c r="A258" s="35" t="inlineStr">
        <is>
          <t>reviewed_at</t>
        </is>
      </c>
      <c r="B258" s="35" t="inlineStr">
        <is>
          <t>timestamptz</t>
        </is>
      </c>
      <c r="C258" s="36" t="n"/>
      <c r="D258" s="36" t="inlineStr">
        <is>
          <t>任意</t>
        </is>
      </c>
    </row>
    <row r="259" ht="15" customHeight="1" s="28">
      <c r="A259" s="35" t="inlineStr">
        <is>
          <t>comments</t>
        </is>
      </c>
      <c r="B259" s="35" t="inlineStr">
        <is>
          <t>jsonb</t>
        </is>
      </c>
      <c r="C259" s="36" t="inlineStr">
        <is>
          <t>やり取り</t>
        </is>
      </c>
      <c r="D259" s="36" t="inlineStr">
        <is>
          <t>任意</t>
        </is>
      </c>
    </row>
    <row r="260" ht="15" customHeight="1" s="28">
      <c r="A260" s="35" t="inlineStr">
        <is>
          <t>created_at</t>
        </is>
      </c>
      <c r="B260" s="35" t="inlineStr">
        <is>
          <t>timestamptz DEFAULT now()</t>
        </is>
      </c>
      <c r="C260" s="36" t="n"/>
      <c r="D260" s="36" t="inlineStr">
        <is>
          <t>必須</t>
        </is>
      </c>
    </row>
    <row r="262" ht="21.75" customHeight="1" s="28">
      <c r="A262" s="47" t="inlineStr">
        <is>
          <t>▼ knowledge_items</t>
        </is>
      </c>
    </row>
    <row r="263" ht="27.75" customHeight="1" s="28">
      <c r="A263" s="34" t="inlineStr">
        <is>
          <t>カラム</t>
        </is>
      </c>
      <c r="B263" s="34" t="inlineStr">
        <is>
          <t>型</t>
        </is>
      </c>
      <c r="C263" s="34" t="inlineStr">
        <is>
          <t>説明</t>
        </is>
      </c>
      <c r="D263" s="34" t="inlineStr">
        <is>
          <t>必須</t>
        </is>
      </c>
    </row>
    <row r="264" ht="15" customHeight="1" s="28">
      <c r="A264" s="35" t="inlineStr">
        <is>
          <t>id</t>
        </is>
      </c>
      <c r="B264" s="35" t="inlineStr">
        <is>
          <t>uuid PRIMARY KEY DEFAULT gen_random_uuid()</t>
        </is>
      </c>
      <c r="C264" s="36" t="n"/>
      <c r="D264" s="36" t="inlineStr">
        <is>
          <t>必須</t>
        </is>
      </c>
    </row>
    <row r="265" ht="15" customHeight="1" s="28">
      <c r="A265" s="35" t="inlineStr">
        <is>
          <t>type</t>
        </is>
      </c>
      <c r="B265" s="35" t="inlineStr">
        <is>
          <t>text CHECK (type IN ('document','image','slide','faq','playbook','meeting_transcript'))</t>
        </is>
      </c>
      <c r="C265" s="36" t="n"/>
      <c r="D265" s="36" t="inlineStr">
        <is>
          <t>必須</t>
        </is>
      </c>
    </row>
    <row r="266" ht="15" customHeight="1" s="28">
      <c r="A266" s="35" t="inlineStr">
        <is>
          <t>title</t>
        </is>
      </c>
      <c r="B266" s="35" t="inlineStr">
        <is>
          <t>text NOT NULL</t>
        </is>
      </c>
      <c r="C266" s="36" t="n"/>
      <c r="D266" s="36" t="inlineStr">
        <is>
          <t>必須</t>
        </is>
      </c>
    </row>
    <row r="267" ht="15" customHeight="1" s="28">
      <c r="A267" s="35" t="inlineStr">
        <is>
          <t>content</t>
        </is>
      </c>
      <c r="B267" s="35" t="inlineStr">
        <is>
          <t>text</t>
        </is>
      </c>
      <c r="C267" s="36" t="inlineStr">
        <is>
          <t>本文</t>
        </is>
      </c>
      <c r="D267" s="36" t="inlineStr">
        <is>
          <t>任意</t>
        </is>
      </c>
    </row>
    <row r="268" ht="15" customHeight="1" s="28">
      <c r="A268" s="35" t="inlineStr">
        <is>
          <t>file_url</t>
        </is>
      </c>
      <c r="B268" s="35" t="inlineStr">
        <is>
          <t>text</t>
        </is>
      </c>
      <c r="C268" s="36" t="n"/>
      <c r="D268" s="36" t="inlineStr">
        <is>
          <t>任意</t>
        </is>
      </c>
    </row>
    <row r="269" ht="15" customHeight="1" s="28">
      <c r="A269" s="35" t="inlineStr">
        <is>
          <t>file_mime_type</t>
        </is>
      </c>
      <c r="B269" s="35" t="inlineStr">
        <is>
          <t>text</t>
        </is>
      </c>
      <c r="C269" s="36" t="n"/>
      <c r="D269" s="36" t="inlineStr">
        <is>
          <t>任意</t>
        </is>
      </c>
    </row>
    <row r="270" ht="15" customHeight="1" s="28">
      <c r="A270" s="35" t="inlineStr">
        <is>
          <t>ai_description</t>
        </is>
      </c>
      <c r="B270" s="35" t="inlineStr">
        <is>
          <t>text</t>
        </is>
      </c>
      <c r="C270" s="36" t="inlineStr">
        <is>
          <t>画像/資料のAI説明</t>
        </is>
      </c>
      <c r="D270" s="36" t="inlineStr">
        <is>
          <t>任意</t>
        </is>
      </c>
    </row>
    <row r="271" ht="15" customHeight="1" s="28">
      <c r="A271" s="35" t="inlineStr">
        <is>
          <t>ai_tags</t>
        </is>
      </c>
      <c r="B271" s="35" t="inlineStr">
        <is>
          <t>jsonb</t>
        </is>
      </c>
      <c r="C271" s="35" t="inlineStr">
        <is>
          <t>AI生成タグ</t>
        </is>
      </c>
      <c r="D271" s="36" t="inlineStr">
        <is>
          <t>任意</t>
        </is>
      </c>
    </row>
    <row r="272" ht="15" customHeight="1" s="28">
      <c r="A272" s="35" t="inlineStr">
        <is>
          <t>manual_tags</t>
        </is>
      </c>
      <c r="B272" s="35" t="inlineStr">
        <is>
          <t>text[]</t>
        </is>
      </c>
      <c r="C272" s="36" t="inlineStr">
        <is>
          <t>手動タグ</t>
        </is>
      </c>
      <c r="D272" s="36" t="inlineStr">
        <is>
          <t>任意</t>
        </is>
      </c>
    </row>
    <row r="273" ht="15" customHeight="1" s="28">
      <c r="A273" s="35" t="inlineStr">
        <is>
          <t>source_meeting_id</t>
        </is>
      </c>
      <c r="B273" s="35" t="inlineStr">
        <is>
          <t>uuid REFERENCES meetings(id)</t>
        </is>
      </c>
      <c r="C273" s="36" t="n"/>
      <c r="D273" s="36" t="inlineStr">
        <is>
          <t>任意</t>
        </is>
      </c>
    </row>
    <row r="274" ht="15" customHeight="1" s="28">
      <c r="A274" s="35" t="inlineStr">
        <is>
          <t>source_recording_id</t>
        </is>
      </c>
      <c r="B274" s="35" t="inlineStr">
        <is>
          <t>uuid REFERENCES recordings(id)</t>
        </is>
      </c>
      <c r="C274" s="36" t="n"/>
      <c r="D274" s="36" t="inlineStr">
        <is>
          <t>任意</t>
        </is>
      </c>
    </row>
    <row r="275" ht="15" customHeight="1" s="28">
      <c r="A275" s="35" t="inlineStr">
        <is>
          <t>visibility</t>
        </is>
      </c>
      <c r="B275" s="35" t="inlineStr">
        <is>
          <t>text CHECK (visibility IN ('private','team','org')) DEFAULT 'org'</t>
        </is>
      </c>
      <c r="C275" s="36" t="n"/>
      <c r="D275" s="36" t="inlineStr">
        <is>
          <t>必須</t>
        </is>
      </c>
    </row>
    <row r="276" ht="15" customHeight="1" s="28">
      <c r="A276" s="35" t="inlineStr">
        <is>
          <t>approval_status</t>
        </is>
      </c>
      <c r="B276" s="35" t="inlineStr">
        <is>
          <t>text CHECK (approval_status IN ('draft','approved','rejected')) DEFAULT 'draft'</t>
        </is>
      </c>
      <c r="C276" s="36" t="n"/>
      <c r="D276" s="36" t="inlineStr">
        <is>
          <t>必須</t>
        </is>
      </c>
    </row>
    <row r="277" ht="15" customHeight="1" s="28">
      <c r="A277" s="35" t="inlineStr">
        <is>
          <t>uploaded_by_user_id</t>
        </is>
      </c>
      <c r="B277" s="35" t="inlineStr">
        <is>
          <t>uuid REFERENCES users(id) NOT NULL</t>
        </is>
      </c>
      <c r="C277" s="36" t="n"/>
      <c r="D277" s="36" t="inlineStr">
        <is>
          <t>必須</t>
        </is>
      </c>
    </row>
    <row r="278" ht="15" customHeight="1" s="28">
      <c r="A278" s="35" t="inlineStr">
        <is>
          <t>created_at</t>
        </is>
      </c>
      <c r="B278" s="35" t="inlineStr">
        <is>
          <t>timestamptz DEFAULT now()</t>
        </is>
      </c>
      <c r="C278" s="36" t="n"/>
      <c r="D278" s="36" t="inlineStr">
        <is>
          <t>必須</t>
        </is>
      </c>
    </row>
    <row r="280" ht="21.75" customHeight="1" s="28">
      <c r="A280" s="47" t="inlineStr">
        <is>
          <t>▼ knowledge_embeddings</t>
        </is>
      </c>
    </row>
    <row r="281" ht="27.75" customHeight="1" s="28">
      <c r="A281" s="34" t="inlineStr">
        <is>
          <t>カラム</t>
        </is>
      </c>
      <c r="B281" s="34" t="inlineStr">
        <is>
          <t>型</t>
        </is>
      </c>
      <c r="C281" s="34" t="inlineStr">
        <is>
          <t>説明</t>
        </is>
      </c>
      <c r="D281" s="34" t="inlineStr">
        <is>
          <t>必須</t>
        </is>
      </c>
    </row>
    <row r="282" ht="15" customHeight="1" s="28">
      <c r="A282" s="35" t="inlineStr">
        <is>
          <t>id</t>
        </is>
      </c>
      <c r="B282" s="35" t="inlineStr">
        <is>
          <t>uuid PRIMARY KEY DEFAULT gen_random_uuid()</t>
        </is>
      </c>
      <c r="C282" s="36" t="n"/>
      <c r="D282" s="36" t="inlineStr">
        <is>
          <t>必須</t>
        </is>
      </c>
    </row>
    <row r="283" ht="15" customHeight="1" s="28">
      <c r="A283" s="35" t="inlineStr">
        <is>
          <t>source_type</t>
        </is>
      </c>
      <c r="B283" s="35" t="inlineStr">
        <is>
          <t>text CHECK (source_type IN ('knowledge_item','recording_segment','meeting_notes','email','handoff'))</t>
        </is>
      </c>
      <c r="C283" s="36" t="n"/>
      <c r="D283" s="36" t="inlineStr">
        <is>
          <t>必須</t>
        </is>
      </c>
    </row>
    <row r="284" ht="15" customHeight="1" s="28">
      <c r="A284" s="35" t="inlineStr">
        <is>
          <t>source_id</t>
        </is>
      </c>
      <c r="B284" s="35" t="inlineStr">
        <is>
          <t>uuid NOT NULL</t>
        </is>
      </c>
      <c r="C284" s="36" t="inlineStr">
        <is>
          <t>多態的参照</t>
        </is>
      </c>
      <c r="D284" s="36" t="inlineStr">
        <is>
          <t>必須</t>
        </is>
      </c>
    </row>
    <row r="285" ht="15" customHeight="1" s="28">
      <c r="A285" s="35" t="inlineStr">
        <is>
          <t>chunk_text</t>
        </is>
      </c>
      <c r="B285" s="35" t="inlineStr">
        <is>
          <t>text NOT NULL</t>
        </is>
      </c>
      <c r="C285" s="36" t="n"/>
      <c r="D285" s="36" t="inlineStr">
        <is>
          <t>必須</t>
        </is>
      </c>
    </row>
    <row r="286" ht="15" customHeight="1" s="28">
      <c r="A286" s="35" t="inlineStr">
        <is>
          <t>chunk_index</t>
        </is>
      </c>
      <c r="B286" s="35" t="inlineStr">
        <is>
          <t>integer DEFAULT 0</t>
        </is>
      </c>
      <c r="C286" s="36" t="n"/>
      <c r="D286" s="36" t="inlineStr">
        <is>
          <t>必須</t>
        </is>
      </c>
    </row>
    <row r="287" ht="15" customHeight="1" s="28">
      <c r="A287" s="35" t="inlineStr">
        <is>
          <t>embedding</t>
        </is>
      </c>
      <c r="B287" s="35" t="inlineStr">
        <is>
          <t>vector(1536) NOT NULL</t>
        </is>
      </c>
      <c r="C287" s="35" t="inlineStr">
        <is>
          <t>OpenAI text-embedding-3-small</t>
        </is>
      </c>
      <c r="D287" s="36" t="inlineStr">
        <is>
          <t>必須</t>
        </is>
      </c>
    </row>
    <row r="288" ht="15" customHeight="1" s="28">
      <c r="A288" s="35" t="inlineStr">
        <is>
          <t>metadata</t>
        </is>
      </c>
      <c r="B288" s="35" t="inlineStr">
        <is>
          <t>jsonb</t>
        </is>
      </c>
      <c r="C288" s="35" t="inlineStr">
        <is>
          <t>{meeting_stage, industry, speaker, ...} フィルタ用</t>
        </is>
      </c>
      <c r="D288" s="36" t="inlineStr">
        <is>
          <t>任意</t>
        </is>
      </c>
    </row>
    <row r="289" ht="15" customHeight="1" s="28">
      <c r="A289" s="35" t="inlineStr">
        <is>
          <t>created_at</t>
        </is>
      </c>
      <c r="B289" s="35" t="inlineStr">
        <is>
          <t>timestamptz DEFAULT now()</t>
        </is>
      </c>
      <c r="C289" s="36" t="n"/>
      <c r="D289" s="36" t="inlineStr">
        <is>
          <t>必須</t>
        </is>
      </c>
    </row>
    <row r="290" ht="15" customHeight="1" s="28">
      <c r="A290" s="35" t="inlineStr">
        <is>
          <t>INDEX</t>
        </is>
      </c>
      <c r="B290" s="35" t="inlineStr">
        <is>
          <t>embeddings_source_idx, HNSW(embedding)</t>
        </is>
      </c>
      <c r="C290" s="36" t="n"/>
      <c r="D290" s="36" t="n"/>
    </row>
    <row r="292" ht="21.75" customHeight="1" s="28">
      <c r="A292" s="47" t="inlineStr">
        <is>
          <t>▼ roleplay_scenarios</t>
        </is>
      </c>
    </row>
    <row r="293" ht="27.75" customHeight="1" s="28">
      <c r="A293" s="34" t="inlineStr">
        <is>
          <t>カラム</t>
        </is>
      </c>
      <c r="B293" s="34" t="inlineStr">
        <is>
          <t>型</t>
        </is>
      </c>
      <c r="C293" s="34" t="inlineStr">
        <is>
          <t>説明</t>
        </is>
      </c>
      <c r="D293" s="34" t="inlineStr">
        <is>
          <t>必須</t>
        </is>
      </c>
    </row>
    <row r="294" ht="15" customHeight="1" s="28">
      <c r="A294" s="35" t="inlineStr">
        <is>
          <t>id</t>
        </is>
      </c>
      <c r="B294" s="35" t="inlineStr">
        <is>
          <t>uuid PRIMARY KEY DEFAULT gen_random_uuid()</t>
        </is>
      </c>
      <c r="C294" s="36" t="n"/>
      <c r="D294" s="36" t="inlineStr">
        <is>
          <t>必須</t>
        </is>
      </c>
    </row>
    <row r="295" ht="15" customHeight="1" s="28">
      <c r="A295" s="35" t="inlineStr">
        <is>
          <t>title</t>
        </is>
      </c>
      <c r="B295" s="35" t="inlineStr">
        <is>
          <t>text NOT NULL</t>
        </is>
      </c>
      <c r="C295" s="36" t="n"/>
      <c r="D295" s="36" t="inlineStr">
        <is>
          <t>必須</t>
        </is>
      </c>
    </row>
    <row r="296" ht="15" customHeight="1" s="28">
      <c r="A296" s="35" t="inlineStr">
        <is>
          <t>description</t>
        </is>
      </c>
      <c r="B296" s="35" t="inlineStr">
        <is>
          <t>text</t>
        </is>
      </c>
      <c r="C296" s="36" t="n"/>
      <c r="D296" s="36" t="inlineStr">
        <is>
          <t>任意</t>
        </is>
      </c>
    </row>
    <row r="297" ht="15" customHeight="1" s="28">
      <c r="A297" s="35" t="inlineStr">
        <is>
          <t>persona</t>
        </is>
      </c>
      <c r="B297" s="35" t="inlineStr">
        <is>
          <t>jsonb NOT NULL</t>
        </is>
      </c>
      <c r="C297" s="35" t="inlineStr">
        <is>
          <t>{industry, role, personality, pain_points, objections}</t>
        </is>
      </c>
      <c r="D297" s="36" t="inlineStr">
        <is>
          <t>必須</t>
        </is>
      </c>
    </row>
    <row r="298" ht="15" customHeight="1" s="28">
      <c r="A298" s="35" t="inlineStr">
        <is>
          <t>opening_message</t>
        </is>
      </c>
      <c r="B298" s="35" t="inlineStr">
        <is>
          <t>text</t>
        </is>
      </c>
      <c r="C298" s="35" t="inlineStr">
        <is>
          <t>AIの最初の発話</t>
        </is>
      </c>
      <c r="D298" s="36" t="inlineStr">
        <is>
          <t>任意</t>
        </is>
      </c>
    </row>
    <row r="299" ht="15" customHeight="1" s="28">
      <c r="A299" s="35" t="inlineStr">
        <is>
          <t>generated_from_meeting_ids</t>
        </is>
      </c>
      <c r="B299" s="35" t="inlineStr">
        <is>
          <t>uuid[]</t>
        </is>
      </c>
      <c r="C299" s="36" t="inlineStr">
        <is>
          <t>元商談</t>
        </is>
      </c>
      <c r="D299" s="36" t="inlineStr">
        <is>
          <t>任意</t>
        </is>
      </c>
    </row>
    <row r="300" ht="15" customHeight="1" s="28">
      <c r="A300" s="35" t="inlineStr">
        <is>
          <t>difficulty</t>
        </is>
      </c>
      <c r="B300" s="35" t="inlineStr">
        <is>
          <t>text CHECK (difficulty IN ('easy','medium','hard'))</t>
        </is>
      </c>
      <c r="C300" s="36" t="n"/>
      <c r="D300" s="36" t="inlineStr">
        <is>
          <t>任意</t>
        </is>
      </c>
    </row>
    <row r="301" ht="15" customHeight="1" s="28">
      <c r="A301" s="35" t="inlineStr">
        <is>
          <t>stage</t>
        </is>
      </c>
      <c r="B301" s="35" t="inlineStr">
        <is>
          <t>text</t>
        </is>
      </c>
      <c r="C301" s="35" t="inlineStr">
        <is>
          <t>first/objection/closing等</t>
        </is>
      </c>
      <c r="D301" s="36" t="inlineStr">
        <is>
          <t>任意</t>
        </is>
      </c>
    </row>
    <row r="302" ht="15" customHeight="1" s="28">
      <c r="A302" s="35" t="inlineStr">
        <is>
          <t>evaluation_criteria</t>
        </is>
      </c>
      <c r="B302" s="35" t="inlineStr">
        <is>
          <t>jsonb</t>
        </is>
      </c>
      <c r="C302" s="36" t="inlineStr">
        <is>
          <t>採点項目とウェイト</t>
        </is>
      </c>
      <c r="D302" s="36" t="inlineStr">
        <is>
          <t>必須</t>
        </is>
      </c>
    </row>
    <row r="303" ht="15" customHeight="1" s="28">
      <c r="A303" s="35" t="inlineStr">
        <is>
          <t>is_published</t>
        </is>
      </c>
      <c r="B303" s="35" t="inlineStr">
        <is>
          <t>boolean DEFAULT false</t>
        </is>
      </c>
      <c r="C303" s="36" t="n"/>
      <c r="D303" s="36" t="inlineStr">
        <is>
          <t>必須</t>
        </is>
      </c>
    </row>
    <row r="304" ht="15" customHeight="1" s="28">
      <c r="A304" s="35" t="inlineStr">
        <is>
          <t>created_by_user_id</t>
        </is>
      </c>
      <c r="B304" s="35" t="inlineStr">
        <is>
          <t>uuid REFERENCES users(id)</t>
        </is>
      </c>
      <c r="C304" s="36" t="n"/>
      <c r="D304" s="36" t="inlineStr">
        <is>
          <t>必須</t>
        </is>
      </c>
    </row>
    <row r="305" ht="15" customHeight="1" s="28">
      <c r="A305" s="35" t="inlineStr">
        <is>
          <t>created_at</t>
        </is>
      </c>
      <c r="B305" s="35" t="inlineStr">
        <is>
          <t>timestamptz DEFAULT now()</t>
        </is>
      </c>
      <c r="C305" s="36" t="n"/>
      <c r="D305" s="36" t="inlineStr">
        <is>
          <t>必須</t>
        </is>
      </c>
    </row>
    <row r="307" ht="21.75" customHeight="1" s="28">
      <c r="A307" s="47" t="inlineStr">
        <is>
          <t>▼ roleplay_sessions</t>
        </is>
      </c>
    </row>
    <row r="308" ht="27.75" customHeight="1" s="28">
      <c r="A308" s="34" t="inlineStr">
        <is>
          <t>カラム</t>
        </is>
      </c>
      <c r="B308" s="34" t="inlineStr">
        <is>
          <t>型</t>
        </is>
      </c>
      <c r="C308" s="34" t="inlineStr">
        <is>
          <t>説明</t>
        </is>
      </c>
      <c r="D308" s="34" t="inlineStr">
        <is>
          <t>必須</t>
        </is>
      </c>
    </row>
    <row r="309" ht="15" customHeight="1" s="28">
      <c r="A309" s="35" t="inlineStr">
        <is>
          <t>id</t>
        </is>
      </c>
      <c r="B309" s="35" t="inlineStr">
        <is>
          <t>uuid PRIMARY KEY DEFAULT gen_random_uuid()</t>
        </is>
      </c>
      <c r="C309" s="36" t="n"/>
      <c r="D309" s="36" t="inlineStr">
        <is>
          <t>必須</t>
        </is>
      </c>
    </row>
    <row r="310" ht="15" customHeight="1" s="28">
      <c r="A310" s="35" t="inlineStr">
        <is>
          <t>scenario_id</t>
        </is>
      </c>
      <c r="B310" s="35" t="inlineStr">
        <is>
          <t>uuid REFERENCES roleplay_scenarios(id) NOT NULL</t>
        </is>
      </c>
      <c r="C310" s="36" t="n"/>
      <c r="D310" s="36" t="inlineStr">
        <is>
          <t>必須</t>
        </is>
      </c>
    </row>
    <row r="311" ht="15" customHeight="1" s="28">
      <c r="A311" s="35" t="inlineStr">
        <is>
          <t>user_id</t>
        </is>
      </c>
      <c r="B311" s="35" t="inlineStr">
        <is>
          <t>uuid REFERENCES users(id) NOT NULL</t>
        </is>
      </c>
      <c r="C311" s="36" t="n"/>
      <c r="D311" s="36" t="inlineStr">
        <is>
          <t>必須</t>
        </is>
      </c>
    </row>
    <row r="312" ht="15" customHeight="1" s="28">
      <c r="A312" s="35" t="inlineStr">
        <is>
          <t>mode</t>
        </is>
      </c>
      <c r="B312" s="35" t="inlineStr">
        <is>
          <t>text CHECK (mode IN ('chat','voice')) DEFAULT 'chat'</t>
        </is>
      </c>
      <c r="C312" s="36" t="n"/>
      <c r="D312" s="36" t="inlineStr">
        <is>
          <t>必須</t>
        </is>
      </c>
    </row>
    <row r="313" ht="15" customHeight="1" s="28">
      <c r="A313" s="35" t="inlineStr">
        <is>
          <t>conversation</t>
        </is>
      </c>
      <c r="B313" s="35" t="inlineStr">
        <is>
          <t>jsonb NOT NULL DEFAULT '[]'::jsonb</t>
        </is>
      </c>
      <c r="C313" s="35" t="inlineStr">
        <is>
          <t>[{role, content, ts}]</t>
        </is>
      </c>
      <c r="D313" s="36" t="inlineStr">
        <is>
          <t>必須</t>
        </is>
      </c>
    </row>
    <row r="314" ht="15" customHeight="1" s="28">
      <c r="A314" s="35" t="inlineStr">
        <is>
          <t>duration_seconds</t>
        </is>
      </c>
      <c r="B314" s="35" t="inlineStr">
        <is>
          <t>integer</t>
        </is>
      </c>
      <c r="C314" s="36" t="n"/>
      <c r="D314" s="36" t="inlineStr">
        <is>
          <t>任意</t>
        </is>
      </c>
    </row>
    <row r="315" ht="15" customHeight="1" s="28">
      <c r="A315" s="35" t="inlineStr">
        <is>
          <t>is_completed</t>
        </is>
      </c>
      <c r="B315" s="35" t="inlineStr">
        <is>
          <t>boolean DEFAULT false</t>
        </is>
      </c>
      <c r="C315" s="36" t="n"/>
      <c r="D315" s="36" t="inlineStr">
        <is>
          <t>必須</t>
        </is>
      </c>
    </row>
    <row r="316" ht="15" customHeight="1" s="28">
      <c r="A316" s="35" t="inlineStr">
        <is>
          <t>completed_at</t>
        </is>
      </c>
      <c r="B316" s="35" t="inlineStr">
        <is>
          <t>timestamptz</t>
        </is>
      </c>
      <c r="C316" s="36" t="n"/>
      <c r="D316" s="36" t="inlineStr">
        <is>
          <t>任意</t>
        </is>
      </c>
    </row>
    <row r="317" ht="15" customHeight="1" s="28">
      <c r="A317" s="35" t="inlineStr">
        <is>
          <t>shared_with_team</t>
        </is>
      </c>
      <c r="B317" s="35" t="inlineStr">
        <is>
          <t>boolean DEFAULT false</t>
        </is>
      </c>
      <c r="C317" s="36" t="inlineStr">
        <is>
          <t>任意公開</t>
        </is>
      </c>
      <c r="D317" s="36" t="inlineStr">
        <is>
          <t>必須</t>
        </is>
      </c>
    </row>
    <row r="318" ht="15" customHeight="1" s="28">
      <c r="A318" s="35" t="inlineStr">
        <is>
          <t>created_at</t>
        </is>
      </c>
      <c r="B318" s="35" t="inlineStr">
        <is>
          <t>timestamptz DEFAULT now()</t>
        </is>
      </c>
      <c r="C318" s="36" t="n"/>
      <c r="D318" s="36" t="inlineStr">
        <is>
          <t>必須</t>
        </is>
      </c>
    </row>
    <row r="320" ht="21.75" customHeight="1" s="28">
      <c r="A320" s="47" t="inlineStr">
        <is>
          <t>▼ roleplay_evaluations</t>
        </is>
      </c>
    </row>
    <row r="321" ht="27.75" customHeight="1" s="28">
      <c r="A321" s="34" t="inlineStr">
        <is>
          <t>カラム</t>
        </is>
      </c>
      <c r="B321" s="34" t="inlineStr">
        <is>
          <t>型</t>
        </is>
      </c>
      <c r="C321" s="34" t="inlineStr">
        <is>
          <t>説明</t>
        </is>
      </c>
      <c r="D321" s="34" t="inlineStr">
        <is>
          <t>必須</t>
        </is>
      </c>
    </row>
    <row r="322" ht="15" customHeight="1" s="28">
      <c r="A322" s="35" t="inlineStr">
        <is>
          <t>id</t>
        </is>
      </c>
      <c r="B322" s="35" t="inlineStr">
        <is>
          <t>uuid PRIMARY KEY DEFAULT gen_random_uuid()</t>
        </is>
      </c>
      <c r="C322" s="36" t="n"/>
      <c r="D322" s="36" t="inlineStr">
        <is>
          <t>必須</t>
        </is>
      </c>
    </row>
    <row r="323" ht="15" customHeight="1" s="28">
      <c r="A323" s="35" t="inlineStr">
        <is>
          <t>session_id</t>
        </is>
      </c>
      <c r="B323" s="35" t="inlineStr">
        <is>
          <t>uuid REFERENCES roleplay_sessions(id) NOT NULL</t>
        </is>
      </c>
      <c r="C323" s="36" t="n"/>
      <c r="D323" s="36" t="inlineStr">
        <is>
          <t>必須</t>
        </is>
      </c>
    </row>
    <row r="324" ht="15" customHeight="1" s="28">
      <c r="A324" s="35" t="inlineStr">
        <is>
          <t>overall_score</t>
        </is>
      </c>
      <c r="B324" s="35" t="inlineStr">
        <is>
          <t>integer</t>
        </is>
      </c>
      <c r="C324" s="35" t="inlineStr">
        <is>
          <t>0-100</t>
        </is>
      </c>
      <c r="D324" s="36" t="inlineStr">
        <is>
          <t>必須</t>
        </is>
      </c>
    </row>
    <row r="325" ht="15" customHeight="1" s="28">
      <c r="A325" s="35" t="inlineStr">
        <is>
          <t>rubric_scores</t>
        </is>
      </c>
      <c r="B325" s="35" t="inlineStr">
        <is>
          <t>jsonb NOT NULL</t>
        </is>
      </c>
      <c r="C325" s="35" t="inlineStr">
        <is>
          <t>{ヒアリング:80,提案:60,...}</t>
        </is>
      </c>
      <c r="D325" s="36" t="inlineStr">
        <is>
          <t>必須</t>
        </is>
      </c>
    </row>
    <row r="326" ht="15" customHeight="1" s="28">
      <c r="A326" s="35" t="inlineStr">
        <is>
          <t>strengths</t>
        </is>
      </c>
      <c r="B326" s="35" t="inlineStr">
        <is>
          <t>text[]</t>
        </is>
      </c>
      <c r="C326" s="36" t="n"/>
      <c r="D326" s="36" t="inlineStr">
        <is>
          <t>任意</t>
        </is>
      </c>
    </row>
    <row r="327" ht="15" customHeight="1" s="28">
      <c r="A327" s="35" t="inlineStr">
        <is>
          <t>improvements</t>
        </is>
      </c>
      <c r="B327" s="35" t="inlineStr">
        <is>
          <t>text[]</t>
        </is>
      </c>
      <c r="C327" s="36" t="n"/>
      <c r="D327" s="36" t="inlineStr">
        <is>
          <t>任意</t>
        </is>
      </c>
    </row>
    <row r="328" ht="15" customHeight="1" s="28">
      <c r="A328" s="35" t="inlineStr">
        <is>
          <t>coach_comment</t>
        </is>
      </c>
      <c r="B328" s="35" t="inlineStr">
        <is>
          <t>text</t>
        </is>
      </c>
      <c r="C328" s="36" t="inlineStr">
        <is>
          <t>マネージャーコメント</t>
        </is>
      </c>
      <c r="D328" s="36" t="inlineStr">
        <is>
          <t>任意</t>
        </is>
      </c>
    </row>
    <row r="329" ht="15" customHeight="1" s="28">
      <c r="A329" s="35" t="inlineStr">
        <is>
          <t>coach_user_id</t>
        </is>
      </c>
      <c r="B329" s="35" t="inlineStr">
        <is>
          <t>uuid REFERENCES users(id)</t>
        </is>
      </c>
      <c r="C329" s="36" t="n"/>
      <c r="D329" s="36" t="inlineStr">
        <is>
          <t>任意</t>
        </is>
      </c>
    </row>
    <row r="330" ht="15" customHeight="1" s="28">
      <c r="A330" s="35" t="inlineStr">
        <is>
          <t>created_at</t>
        </is>
      </c>
      <c r="B330" s="35" t="inlineStr">
        <is>
          <t>timestamptz DEFAULT now()</t>
        </is>
      </c>
      <c r="C330" s="36" t="n"/>
      <c r="D330" s="36" t="inlineStr">
        <is>
          <t>必須</t>
        </is>
      </c>
    </row>
    <row r="332" ht="21.75" customHeight="1" s="28">
      <c r="A332" s="47" t="inlineStr">
        <is>
          <t>▼ share_links</t>
        </is>
      </c>
    </row>
    <row r="333" ht="27.75" customHeight="1" s="28">
      <c r="A333" s="34" t="inlineStr">
        <is>
          <t>カラム</t>
        </is>
      </c>
      <c r="B333" s="34" t="inlineStr">
        <is>
          <t>型</t>
        </is>
      </c>
      <c r="C333" s="34" t="inlineStr">
        <is>
          <t>説明</t>
        </is>
      </c>
      <c r="D333" s="34" t="inlineStr">
        <is>
          <t>必須</t>
        </is>
      </c>
    </row>
    <row r="334" ht="15" customHeight="1" s="28">
      <c r="A334" s="35" t="inlineStr">
        <is>
          <t>id</t>
        </is>
      </c>
      <c r="B334" s="35" t="inlineStr">
        <is>
          <t>uuid PRIMARY KEY DEFAULT gen_random_uuid()</t>
        </is>
      </c>
      <c r="C334" s="36" t="n"/>
      <c r="D334" s="36" t="inlineStr">
        <is>
          <t>必須</t>
        </is>
      </c>
    </row>
    <row r="335" ht="15" customHeight="1" s="28">
      <c r="A335" s="35" t="inlineStr">
        <is>
          <t>token</t>
        </is>
      </c>
      <c r="B335" s="35" t="inlineStr">
        <is>
          <t>text NOT NULL UNIQUE</t>
        </is>
      </c>
      <c r="C335" s="35" t="inlineStr">
        <is>
          <t>URL-safe random</t>
        </is>
      </c>
      <c r="D335" s="36" t="inlineStr">
        <is>
          <t>必須</t>
        </is>
      </c>
    </row>
    <row r="336" ht="15" customHeight="1" s="28">
      <c r="A336" s="35" t="inlineStr">
        <is>
          <t>resource_type</t>
        </is>
      </c>
      <c r="B336" s="35" t="inlineStr">
        <is>
          <t>text CHECK (resource_type IN ('recording_clip','meeting_summary','knowledge_item'))</t>
        </is>
      </c>
      <c r="C336" s="36" t="n"/>
      <c r="D336" s="36" t="inlineStr">
        <is>
          <t>必須</t>
        </is>
      </c>
    </row>
    <row r="337" ht="15" customHeight="1" s="28">
      <c r="A337" s="35" t="inlineStr">
        <is>
          <t>resource_id</t>
        </is>
      </c>
      <c r="B337" s="35" t="inlineStr">
        <is>
          <t>uuid NOT NULL</t>
        </is>
      </c>
      <c r="C337" s="36" t="n"/>
      <c r="D337" s="36" t="inlineStr">
        <is>
          <t>必須</t>
        </is>
      </c>
    </row>
    <row r="338" ht="15" customHeight="1" s="28">
      <c r="A338" s="35" t="inlineStr">
        <is>
          <t>expires_at</t>
        </is>
      </c>
      <c r="B338" s="35" t="inlineStr">
        <is>
          <t>timestamptz NOT NULL</t>
        </is>
      </c>
      <c r="C338" s="36" t="n"/>
      <c r="D338" s="36" t="inlineStr">
        <is>
          <t>必須</t>
        </is>
      </c>
    </row>
    <row r="339" ht="15" customHeight="1" s="28">
      <c r="A339" s="35" t="inlineStr">
        <is>
          <t>password_hash</t>
        </is>
      </c>
      <c r="B339" s="35" t="inlineStr">
        <is>
          <t>text</t>
        </is>
      </c>
      <c r="C339" s="36" t="inlineStr">
        <is>
          <t>パスワード保護(任意)</t>
        </is>
      </c>
      <c r="D339" s="36" t="inlineStr">
        <is>
          <t>任意</t>
        </is>
      </c>
    </row>
    <row r="340" ht="15" customHeight="1" s="28">
      <c r="A340" s="35" t="inlineStr">
        <is>
          <t>access_count</t>
        </is>
      </c>
      <c r="B340" s="35" t="inlineStr">
        <is>
          <t>integer DEFAULT 0</t>
        </is>
      </c>
      <c r="C340" s="36" t="n"/>
      <c r="D340" s="36" t="inlineStr">
        <is>
          <t>必須</t>
        </is>
      </c>
    </row>
    <row r="341" ht="15" customHeight="1" s="28">
      <c r="A341" s="35" t="inlineStr">
        <is>
          <t>created_by</t>
        </is>
      </c>
      <c r="B341" s="35" t="inlineStr">
        <is>
          <t>uuid REFERENCES users(id) NOT NULL</t>
        </is>
      </c>
      <c r="C341" s="36" t="n"/>
      <c r="D341" s="36" t="inlineStr">
        <is>
          <t>必須</t>
        </is>
      </c>
    </row>
    <row r="342" ht="15" customHeight="1" s="28">
      <c r="A342" s="35" t="inlineStr">
        <is>
          <t>created_at</t>
        </is>
      </c>
      <c r="B342" s="35" t="inlineStr">
        <is>
          <t>timestamptz DEFAULT now()</t>
        </is>
      </c>
      <c r="C342" s="36" t="n"/>
      <c r="D342" s="36" t="inlineStr">
        <is>
          <t>必須</t>
        </is>
      </c>
    </row>
    <row r="344" ht="21.75" customHeight="1" s="28">
      <c r="A344" s="47" t="inlineStr">
        <is>
          <t>▼ audit_logs</t>
        </is>
      </c>
    </row>
    <row r="345" ht="27.75" customHeight="1" s="28">
      <c r="A345" s="34" t="inlineStr">
        <is>
          <t>カラム</t>
        </is>
      </c>
      <c r="B345" s="34" t="inlineStr">
        <is>
          <t>型</t>
        </is>
      </c>
      <c r="C345" s="34" t="inlineStr">
        <is>
          <t>説明</t>
        </is>
      </c>
      <c r="D345" s="34" t="inlineStr">
        <is>
          <t>必須</t>
        </is>
      </c>
    </row>
    <row r="346" ht="15" customHeight="1" s="28">
      <c r="A346" s="35" t="inlineStr">
        <is>
          <t>id</t>
        </is>
      </c>
      <c r="B346" s="35" t="inlineStr">
        <is>
          <t>uuid PRIMARY KEY DEFAULT gen_random_uuid()</t>
        </is>
      </c>
      <c r="C346" s="36" t="n"/>
      <c r="D346" s="36" t="inlineStr">
        <is>
          <t>必須</t>
        </is>
      </c>
    </row>
    <row r="347" ht="15" customHeight="1" s="28">
      <c r="A347" s="35" t="inlineStr">
        <is>
          <t>user_id</t>
        </is>
      </c>
      <c r="B347" s="35" t="inlineStr">
        <is>
          <t>uuid REFERENCES users(id)</t>
        </is>
      </c>
      <c r="C347" s="35" t="inlineStr">
        <is>
          <t>NULLはシステム</t>
        </is>
      </c>
      <c r="D347" s="36" t="inlineStr">
        <is>
          <t>任意</t>
        </is>
      </c>
    </row>
    <row r="348" ht="15" customHeight="1" s="28">
      <c r="A348" s="35" t="inlineStr">
        <is>
          <t>action</t>
        </is>
      </c>
      <c r="B348" s="35" t="inlineStr">
        <is>
          <t>text NOT NULL</t>
        </is>
      </c>
      <c r="C348" s="35" t="inlineStr">
        <is>
          <t>'view','create','update','delete','share','export'</t>
        </is>
      </c>
      <c r="D348" s="36" t="inlineStr">
        <is>
          <t>必須</t>
        </is>
      </c>
    </row>
    <row r="349" ht="15" customHeight="1" s="28">
      <c r="A349" s="35" t="inlineStr">
        <is>
          <t>resource_type</t>
        </is>
      </c>
      <c r="B349" s="35" t="inlineStr">
        <is>
          <t>text NOT NULL</t>
        </is>
      </c>
      <c r="C349" s="36" t="n"/>
      <c r="D349" s="36" t="inlineStr">
        <is>
          <t>必須</t>
        </is>
      </c>
    </row>
    <row r="350" ht="15" customHeight="1" s="28">
      <c r="A350" s="35" t="inlineStr">
        <is>
          <t>resource_id</t>
        </is>
      </c>
      <c r="B350" s="35" t="inlineStr">
        <is>
          <t>uuid</t>
        </is>
      </c>
      <c r="C350" s="36" t="n"/>
      <c r="D350" s="36" t="inlineStr">
        <is>
          <t>任意</t>
        </is>
      </c>
    </row>
    <row r="351" ht="15" customHeight="1" s="28">
      <c r="A351" s="35" t="inlineStr">
        <is>
          <t>metadata</t>
        </is>
      </c>
      <c r="B351" s="35" t="inlineStr">
        <is>
          <t>jsonb</t>
        </is>
      </c>
      <c r="C351" s="36" t="inlineStr">
        <is>
          <t>差分やパラメタ</t>
        </is>
      </c>
      <c r="D351" s="36" t="inlineStr">
        <is>
          <t>任意</t>
        </is>
      </c>
    </row>
    <row r="352" ht="15" customHeight="1" s="28">
      <c r="A352" s="35" t="inlineStr">
        <is>
          <t>ip_address</t>
        </is>
      </c>
      <c r="B352" s="35" t="inlineStr">
        <is>
          <t>inet</t>
        </is>
      </c>
      <c r="C352" s="36" t="n"/>
      <c r="D352" s="36" t="inlineStr">
        <is>
          <t>任意</t>
        </is>
      </c>
    </row>
    <row r="353" ht="15" customHeight="1" s="28">
      <c r="A353" s="35" t="inlineStr">
        <is>
          <t>user_agent</t>
        </is>
      </c>
      <c r="B353" s="35" t="inlineStr">
        <is>
          <t>text</t>
        </is>
      </c>
      <c r="C353" s="36" t="n"/>
      <c r="D353" s="36" t="inlineStr">
        <is>
          <t>任意</t>
        </is>
      </c>
    </row>
    <row r="354" ht="15" customHeight="1" s="28">
      <c r="A354" s="35" t="inlineStr">
        <is>
          <t>created_at</t>
        </is>
      </c>
      <c r="B354" s="35" t="inlineStr">
        <is>
          <t>timestamptz DEFAULT now()</t>
        </is>
      </c>
      <c r="C354" s="36" t="n"/>
      <c r="D354" s="36" t="inlineStr">
        <is>
          <t>必須</t>
        </is>
      </c>
    </row>
    <row r="355" ht="15" customHeight="1" s="28">
      <c r="A355" s="35" t="inlineStr">
        <is>
          <t>INDEX</t>
        </is>
      </c>
      <c r="B355" s="35" t="inlineStr">
        <is>
          <t>audit_user_idx, audit_resource_idx, audit_created_idx (created_at DESC)</t>
        </is>
      </c>
      <c r="C355" s="36" t="n"/>
      <c r="D355" s="36" t="n"/>
    </row>
    <row r="357" ht="21.75" customHeight="1" s="28">
      <c r="A357" s="47" t="inlineStr">
        <is>
          <t>▼ notifications</t>
        </is>
      </c>
    </row>
    <row r="358" ht="27.75" customHeight="1" s="28">
      <c r="A358" s="34" t="inlineStr">
        <is>
          <t>カラム</t>
        </is>
      </c>
      <c r="B358" s="34" t="inlineStr">
        <is>
          <t>型</t>
        </is>
      </c>
      <c r="C358" s="34" t="inlineStr">
        <is>
          <t>説明</t>
        </is>
      </c>
      <c r="D358" s="34" t="inlineStr">
        <is>
          <t>必須</t>
        </is>
      </c>
    </row>
    <row r="359" ht="15" customHeight="1" s="28">
      <c r="A359" s="35" t="inlineStr">
        <is>
          <t>id</t>
        </is>
      </c>
      <c r="B359" s="35" t="inlineStr">
        <is>
          <t>uuid PRIMARY KEY DEFAULT gen_random_uuid()</t>
        </is>
      </c>
      <c r="C359" s="36" t="n"/>
      <c r="D359" s="36" t="inlineStr">
        <is>
          <t>必須</t>
        </is>
      </c>
    </row>
    <row r="360" ht="15" customHeight="1" s="28">
      <c r="A360" s="35" t="inlineStr">
        <is>
          <t>user_id</t>
        </is>
      </c>
      <c r="B360" s="35" t="inlineStr">
        <is>
          <t>uuid REFERENCES users(id) NOT NULL</t>
        </is>
      </c>
      <c r="C360" s="36" t="n"/>
      <c r="D360" s="36" t="inlineStr">
        <is>
          <t>必須</t>
        </is>
      </c>
    </row>
    <row r="361" ht="15" customHeight="1" s="28">
      <c r="A361" s="35" t="inlineStr">
        <is>
          <t>type</t>
        </is>
      </c>
      <c r="B361" s="35" t="inlineStr">
        <is>
          <t>text NOT NULL</t>
        </is>
      </c>
      <c r="C361" s="35" t="inlineStr">
        <is>
          <t>'recording_ready','reply_received','handoff_pending',...</t>
        </is>
      </c>
      <c r="D361" s="36" t="inlineStr">
        <is>
          <t>必須</t>
        </is>
      </c>
    </row>
    <row r="362" ht="15" customHeight="1" s="28">
      <c r="A362" s="35" t="inlineStr">
        <is>
          <t>title</t>
        </is>
      </c>
      <c r="B362" s="35" t="inlineStr">
        <is>
          <t>text NOT NULL</t>
        </is>
      </c>
      <c r="C362" s="36" t="n"/>
      <c r="D362" s="36" t="inlineStr">
        <is>
          <t>必須</t>
        </is>
      </c>
    </row>
    <row r="363" ht="15" customHeight="1" s="28">
      <c r="A363" s="35" t="inlineStr">
        <is>
          <t>body</t>
        </is>
      </c>
      <c r="B363" s="35" t="inlineStr">
        <is>
          <t>text</t>
        </is>
      </c>
      <c r="C363" s="36" t="n"/>
      <c r="D363" s="36" t="inlineStr">
        <is>
          <t>任意</t>
        </is>
      </c>
    </row>
    <row r="364" ht="15" customHeight="1" s="28">
      <c r="A364" s="35" t="inlineStr">
        <is>
          <t>link_url</t>
        </is>
      </c>
      <c r="B364" s="35" t="inlineStr">
        <is>
          <t>text</t>
        </is>
      </c>
      <c r="C364" s="36" t="n"/>
      <c r="D364" s="36" t="inlineStr">
        <is>
          <t>任意</t>
        </is>
      </c>
    </row>
    <row r="365" ht="15" customHeight="1" s="28">
      <c r="A365" s="35" t="inlineStr">
        <is>
          <t>is_read</t>
        </is>
      </c>
      <c r="B365" s="35" t="inlineStr">
        <is>
          <t>boolean DEFAULT false</t>
        </is>
      </c>
      <c r="C365" s="36" t="n"/>
      <c r="D365" s="36" t="inlineStr">
        <is>
          <t>必須</t>
        </is>
      </c>
    </row>
    <row r="366" ht="15" customHeight="1" s="28">
      <c r="A366" s="35" t="inlineStr">
        <is>
          <t>created_at</t>
        </is>
      </c>
      <c r="B366" s="35" t="inlineStr">
        <is>
          <t>timestamptz DEFAULT now()</t>
        </is>
      </c>
      <c r="C366" s="36" t="n"/>
      <c r="D366" s="36" t="inlineStr">
        <is>
          <t>必須</t>
        </is>
      </c>
    </row>
    <row r="368" ht="21.75" customHeight="1" s="28">
      <c r="A368" s="47" t="inlineStr">
        <is>
          <t>▼ llm_usage_logs</t>
        </is>
      </c>
    </row>
    <row r="369" ht="27.75" customHeight="1" s="28">
      <c r="A369" s="34" t="inlineStr">
        <is>
          <t>カラム</t>
        </is>
      </c>
      <c r="B369" s="34" t="inlineStr">
        <is>
          <t>型</t>
        </is>
      </c>
      <c r="C369" s="34" t="inlineStr">
        <is>
          <t>説明</t>
        </is>
      </c>
      <c r="D369" s="34" t="inlineStr">
        <is>
          <t>必須</t>
        </is>
      </c>
    </row>
    <row r="370" ht="15" customHeight="1" s="28">
      <c r="A370" s="35" t="inlineStr">
        <is>
          <t>id</t>
        </is>
      </c>
      <c r="B370" s="35" t="inlineStr">
        <is>
          <t>uuid PRIMARY KEY DEFAULT gen_random_uuid()</t>
        </is>
      </c>
      <c r="C370" s="36" t="n"/>
      <c r="D370" s="36" t="inlineStr">
        <is>
          <t>必須</t>
        </is>
      </c>
    </row>
    <row r="371" ht="15" customHeight="1" s="28">
      <c r="A371" s="35" t="inlineStr">
        <is>
          <t>user_id</t>
        </is>
      </c>
      <c r="B371" s="35" t="inlineStr">
        <is>
          <t>uuid REFERENCES users(id)</t>
        </is>
      </c>
      <c r="C371" s="36" t="n"/>
      <c r="D371" s="36" t="inlineStr">
        <is>
          <t>任意</t>
        </is>
      </c>
    </row>
    <row r="372" ht="15" customHeight="1" s="28">
      <c r="A372" s="35" t="inlineStr">
        <is>
          <t>provider</t>
        </is>
      </c>
      <c r="B372" s="35" t="inlineStr">
        <is>
          <t>text NOT NULL</t>
        </is>
      </c>
      <c r="C372" s="35" t="inlineStr">
        <is>
          <t>'anthropic','openai'</t>
        </is>
      </c>
      <c r="D372" s="36" t="inlineStr">
        <is>
          <t>必須</t>
        </is>
      </c>
    </row>
    <row r="373" ht="15" customHeight="1" s="28">
      <c r="A373" s="35" t="inlineStr">
        <is>
          <t>model</t>
        </is>
      </c>
      <c r="B373" s="35" t="inlineStr">
        <is>
          <t>text NOT NULL</t>
        </is>
      </c>
      <c r="C373" s="36" t="n"/>
      <c r="D373" s="36" t="inlineStr">
        <is>
          <t>必須</t>
        </is>
      </c>
    </row>
    <row r="374" ht="15" customHeight="1" s="28">
      <c r="A374" s="35" t="inlineStr">
        <is>
          <t>purpose</t>
        </is>
      </c>
      <c r="B374" s="35" t="inlineStr">
        <is>
          <t>text NOT NULL</t>
        </is>
      </c>
      <c r="C374" s="35" t="inlineStr">
        <is>
          <t>'recording_summary','roleplay','search','ocr_post'</t>
        </is>
      </c>
      <c r="D374" s="36" t="inlineStr">
        <is>
          <t>必須</t>
        </is>
      </c>
    </row>
    <row r="375" ht="15" customHeight="1" s="28">
      <c r="A375" s="35" t="inlineStr">
        <is>
          <t>input_tokens</t>
        </is>
      </c>
      <c r="B375" s="35" t="inlineStr">
        <is>
          <t>integer</t>
        </is>
      </c>
      <c r="C375" s="36" t="n"/>
      <c r="D375" s="36" t="inlineStr">
        <is>
          <t>必須</t>
        </is>
      </c>
    </row>
    <row r="376" ht="15" customHeight="1" s="28">
      <c r="A376" s="35" t="inlineStr">
        <is>
          <t>output_tokens</t>
        </is>
      </c>
      <c r="B376" s="35" t="inlineStr">
        <is>
          <t>integer</t>
        </is>
      </c>
      <c r="C376" s="36" t="n"/>
      <c r="D376" s="36" t="inlineStr">
        <is>
          <t>必須</t>
        </is>
      </c>
    </row>
    <row r="377" ht="15" customHeight="1" s="28">
      <c r="A377" s="35" t="inlineStr">
        <is>
          <t>cost_usd</t>
        </is>
      </c>
      <c r="B377" s="35" t="inlineStr">
        <is>
          <t>numeric(10,6)</t>
        </is>
      </c>
      <c r="C377" s="36" t="n"/>
      <c r="D377" s="36" t="inlineStr">
        <is>
          <t>必須</t>
        </is>
      </c>
    </row>
    <row r="378" ht="15" customHeight="1" s="28">
      <c r="A378" s="35" t="inlineStr">
        <is>
          <t>latency_ms</t>
        </is>
      </c>
      <c r="B378" s="35" t="inlineStr">
        <is>
          <t>integer</t>
        </is>
      </c>
      <c r="C378" s="36" t="n"/>
      <c r="D378" s="36" t="inlineStr">
        <is>
          <t>任意</t>
        </is>
      </c>
    </row>
    <row r="379" ht="15" customHeight="1" s="28">
      <c r="A379" s="35" t="inlineStr">
        <is>
          <t>created_at</t>
        </is>
      </c>
      <c r="B379" s="35" t="inlineStr">
        <is>
          <t>timestamptz DEFAULT now()</t>
        </is>
      </c>
      <c r="C379" s="36" t="n"/>
      <c r="D379" s="36" t="inlineStr">
        <is>
          <t>必須</t>
        </is>
      </c>
    </row>
    <row r="381" ht="21.75" customHeight="1" s="28">
      <c r="A381" s="47" t="inlineStr">
        <is>
          <t>■ JSONB フィールドのスキーマ補足</t>
        </is>
      </c>
    </row>
    <row r="382" ht="27.75" customHeight="1" s="28">
      <c r="A382" s="34" t="inlineStr">
        <is>
          <t>フィールド</t>
        </is>
      </c>
      <c r="B382" s="34" t="inlineStr">
        <is>
          <t>スキーマ例</t>
        </is>
      </c>
    </row>
    <row r="383" ht="15" customHeight="1" s="28">
      <c r="A383" s="35" t="inlineStr">
        <is>
          <t>recordings.transcript_segments</t>
        </is>
      </c>
      <c r="B383" s="35" t="inlineStr">
        <is>
          <t>[{"speaker":"speaker_1","start":12.3,"end":18.7,"text":"...","speaker_label":"営業 田中"}]</t>
        </is>
      </c>
    </row>
    <row r="384" ht="15" customHeight="1" s="28">
      <c r="A384" s="35" t="inlineStr">
        <is>
          <t>recordings.commitments</t>
        </is>
      </c>
      <c r="B384" s="35" t="inlineStr">
        <is>
          <t>[{"text":"月末までに見積書送付","speaker":"営業","timestamp":1245,"category":"deliverable"}]</t>
        </is>
      </c>
    </row>
    <row r="385" ht="15" customHeight="1" s="28">
      <c r="A385" s="35" t="inlineStr">
        <is>
          <t>recordings.customer_needs</t>
        </is>
      </c>
      <c r="B385" s="35" t="inlineStr">
        <is>
          <t>[{"need":"既存システムとの連携","priority":"high","evidence_segment_idx":12}]</t>
        </is>
      </c>
    </row>
    <row r="386" ht="15" customHeight="1" s="28">
      <c r="A386" s="35" t="inlineStr">
        <is>
          <t>recordings.objections</t>
        </is>
      </c>
      <c r="B386" s="35" t="inlineStr">
        <is>
          <t>[{"objection":"価格が高い","response":"ROI説明で納得","resolved":true,"timestamp":1800}]</t>
        </is>
      </c>
    </row>
    <row r="387" ht="15" customHeight="1" s="28">
      <c r="A387" s="35" t="inlineStr">
        <is>
          <t>email_threads.scheduling_state</t>
        </is>
      </c>
      <c r="B387" s="35" t="inlineStr">
        <is>
          <t>{"current_step":"awaiting_customer_reply","proposal_id":"...","attempts":1,"last_action_at":"..."}</t>
        </is>
      </c>
    </row>
    <row r="388" ht="15" customHeight="1" s="28">
      <c r="A388" s="35" t="inlineStr">
        <is>
          <t>email_messages.parsed_intent</t>
        </is>
      </c>
      <c r="B388" s="35" t="inlineStr">
        <is>
          <t>{"type":"accept_slot","slot_index":2,"confidence":0.92,"alternative_request":null}</t>
        </is>
      </c>
    </row>
    <row r="389" ht="29.85" customHeight="1" s="28">
      <c r="A389" s="35" t="inlineStr">
        <is>
          <t>roleplay_scenarios.persona</t>
        </is>
      </c>
      <c r="B389" s="35" t="inlineStr">
        <is>
          <t>{"industry":"製造業","role":"情報システム部長","personality":"慎重・データ重視","pain_points":["既存システム老朽化"],"objections":["価格","導入コスト"],"speaking_style":"フォーマル"}</t>
        </is>
      </c>
    </row>
    <row r="390" ht="29.85" customHeight="1" s="28">
      <c r="A390" s="35" t="inlineStr">
        <is>
          <t>roleplay_scenarios.evaluation_criteria</t>
        </is>
      </c>
      <c r="B390" s="35" t="inlineStr">
        <is>
          <t>{"rubric":[{"name":"ヒアリング","weight":0.3,"description":"顧客課題を引き出せたか"},{"name":"提案","weight":0.3},{"name":"反論対応","weight":0.2},{"name":"クロージング","weight":0.2}]}</t>
        </is>
      </c>
    </row>
    <row r="391" ht="23.85" customHeight="1" s="28">
      <c r="A391" s="35" t="inlineStr">
        <is>
          <t>handoffs.content</t>
        </is>
      </c>
      <c r="B391" s="35" t="inlineStr">
        <is>
          <t>{"customer_overview":"...","decision_makers":[],"key_pain_points":[],"agreed_scope":[],"commitments":[],"risks":[],"next_steps":[]}</t>
        </is>
      </c>
    </row>
    <row r="392" ht="15" customHeight="1" s="28">
      <c r="A392" s="35" t="inlineStr">
        <is>
          <t>email_templates.variables</t>
        </is>
      </c>
      <c r="B392" s="35" t="inlineStr">
        <is>
          <t>{"available":["{{contact_name}}","{{company_name}}","{{slots}}","{{my_name}}"]}</t>
        </is>
      </c>
    </row>
    <row r="394">
      <c r="A394" s="41" t="inlineStr">
        <is>
          <t>■ 追加テーブル(現場UX補完 v2)</t>
        </is>
      </c>
      <c r="B394" s="41" t="n"/>
      <c r="C394" s="41" t="n"/>
      <c r="D394" s="41" t="n"/>
    </row>
    <row r="395">
      <c r="A395" s="41" t="inlineStr">
        <is>
          <t>テーブル名</t>
        </is>
      </c>
      <c r="B395" s="41" t="inlineStr">
        <is>
          <t>概要</t>
        </is>
      </c>
      <c r="C395" s="41" t="inlineStr">
        <is>
          <t>Phase</t>
        </is>
      </c>
      <c r="D395" s="41" t="n"/>
    </row>
    <row r="396">
      <c r="A396" s="41" t="inlineStr">
        <is>
          <t>business_card_images</t>
        </is>
      </c>
      <c r="B396" s="41" t="inlineStr">
        <is>
          <t>名刺画像(表裏)</t>
        </is>
      </c>
      <c r="C396" s="41" t="inlineStr">
        <is>
          <t>P1</t>
        </is>
      </c>
      <c r="D396" s="41" t="n"/>
    </row>
    <row r="397">
      <c r="A397" s="41" t="inlineStr">
        <is>
          <t>contact_memos</t>
        </is>
      </c>
      <c r="B397" s="41" t="inlineStr">
        <is>
          <t>コンタクトメモ(音声/手書き)</t>
        </is>
      </c>
      <c r="C397" s="41" t="inlineStr">
        <is>
          <t>P1</t>
        </is>
      </c>
      <c r="D397" s="41" t="n"/>
    </row>
    <row r="398">
      <c r="A398" s="41" t="inlineStr">
        <is>
          <t>events</t>
        </is>
      </c>
      <c r="B398" s="41" t="inlineStr">
        <is>
          <t>名刺取得イベント(交流会等)</t>
        </is>
      </c>
      <c r="C398" s="41" t="inlineStr">
        <is>
          <t>P2</t>
        </is>
      </c>
      <c r="D398" s="41" t="n"/>
    </row>
    <row r="399">
      <c r="A399" s="41" t="inlineStr">
        <is>
          <t>contact_event_tags</t>
        </is>
      </c>
      <c r="B399" s="41" t="inlineStr">
        <is>
          <t>コンタクト×イベントタグ</t>
        </is>
      </c>
      <c r="C399" s="41" t="inlineStr">
        <is>
          <t>P2</t>
        </is>
      </c>
      <c r="D399" s="41" t="n"/>
    </row>
    <row r="400">
      <c r="A400" s="41" t="inlineStr">
        <is>
          <t>offline_queue</t>
        </is>
      </c>
      <c r="B400" s="41" t="inlineStr">
        <is>
          <t>オフラインキュー</t>
        </is>
      </c>
      <c r="C400" s="41" t="inlineStr">
        <is>
          <t>P1</t>
        </is>
      </c>
      <c r="D400" s="41" t="n"/>
    </row>
    <row r="401">
      <c r="A401" s="41" t="inlineStr">
        <is>
          <t>non_card_attachments</t>
        </is>
      </c>
      <c r="B401" s="41" t="inlineStr">
        <is>
          <t>非名刺添付物</t>
        </is>
      </c>
      <c r="C401" s="41" t="inlineStr">
        <is>
          <t>P1</t>
        </is>
      </c>
      <c r="D401" s="41" t="n"/>
    </row>
    <row r="402">
      <c r="A402" s="41" t="inlineStr">
        <is>
          <t>user_availability_settings</t>
        </is>
      </c>
      <c r="B402" s="41" t="inlineStr">
        <is>
          <t>業務時間/休日設定</t>
        </is>
      </c>
      <c r="C402" s="41" t="inlineStr">
        <is>
          <t>P2</t>
        </is>
      </c>
      <c r="D402" s="41" t="n"/>
    </row>
    <row r="403">
      <c r="A403" s="41" t="inlineStr">
        <is>
          <t>meeting_rooms</t>
        </is>
      </c>
      <c r="B403" s="41" t="inlineStr">
        <is>
          <t>会議室マスタ</t>
        </is>
      </c>
      <c r="C403" s="41" t="inlineStr">
        <is>
          <t>P2</t>
        </is>
      </c>
      <c r="D403" s="41" t="n"/>
    </row>
    <row r="404">
      <c r="A404" s="41" t="inlineStr">
        <is>
          <t>room_reservations</t>
        </is>
      </c>
      <c r="B404" s="41" t="inlineStr">
        <is>
          <t>会議室予約</t>
        </is>
      </c>
      <c r="C404" s="41" t="inlineStr">
        <is>
          <t>P2</t>
        </is>
      </c>
      <c r="D404" s="41" t="n"/>
    </row>
    <row r="405">
      <c r="A405" s="41" t="inlineStr">
        <is>
          <t>calendar_holds</t>
        </is>
      </c>
      <c r="B405" s="41" t="inlineStr">
        <is>
          <t>仮押さえ</t>
        </is>
      </c>
      <c r="C405" s="41" t="inlineStr">
        <is>
          <t>P2</t>
        </is>
      </c>
      <c r="D405" s="41" t="n"/>
    </row>
    <row r="406">
      <c r="A406" s="41" t="inlineStr">
        <is>
          <t>customer_timezones</t>
        </is>
      </c>
      <c r="B406" s="41" t="inlineStr">
        <is>
          <t>顧客TZキャッシュ</t>
        </is>
      </c>
      <c r="C406" s="41" t="inlineStr">
        <is>
          <t>P2</t>
        </is>
      </c>
      <c r="D406" s="41" t="n"/>
    </row>
    <row r="407">
      <c r="A407" s="41" t="inlineStr">
        <is>
          <t>internal_attendee_invites</t>
        </is>
      </c>
      <c r="B407" s="41" t="inlineStr">
        <is>
          <t>社内同席依頼</t>
        </is>
      </c>
      <c r="C407" s="41" t="inlineStr">
        <is>
          <t>P2</t>
        </is>
      </c>
      <c r="D407" s="41" t="n"/>
    </row>
    <row r="408">
      <c r="A408" s="41" t="inlineStr">
        <is>
          <t>delegate_grants</t>
        </is>
      </c>
      <c r="B408" s="41" t="inlineStr">
        <is>
          <t>代理権限</t>
        </is>
      </c>
      <c r="C408" s="41" t="inlineStr">
        <is>
          <t>P3</t>
        </is>
      </c>
      <c r="D408" s="41" t="n"/>
    </row>
    <row r="409">
      <c r="A409" s="41" t="inlineStr">
        <is>
          <t>meeting_duplicates</t>
        </is>
      </c>
      <c r="B409" s="41" t="inlineStr">
        <is>
          <t>重複アプローチ警告</t>
        </is>
      </c>
      <c r="C409" s="41" t="inlineStr">
        <is>
          <t>P2</t>
        </is>
      </c>
      <c r="D409" s="41" t="n"/>
    </row>
    <row r="410">
      <c r="A410" s="41" t="inlineStr">
        <is>
          <t>email_intents</t>
        </is>
      </c>
      <c r="B410" s="41" t="inlineStr">
        <is>
          <t>返信意図分類結果</t>
        </is>
      </c>
      <c r="C410" s="41" t="inlineStr">
        <is>
          <t>P2</t>
        </is>
      </c>
      <c r="D410" s="41" t="n"/>
    </row>
    <row r="411">
      <c r="A411" s="41" t="inlineStr">
        <is>
          <t>email_attachments</t>
        </is>
      </c>
      <c r="B411" s="41" t="inlineStr">
        <is>
          <t>返信添付物</t>
        </is>
      </c>
      <c r="C411" s="41" t="inlineStr">
        <is>
          <t>P2</t>
        </is>
      </c>
      <c r="D411" s="41" t="n"/>
    </row>
    <row r="412">
      <c r="A412" s="41" t="inlineStr">
        <is>
          <t>thread_merge_log</t>
        </is>
      </c>
      <c r="B412" s="41" t="inlineStr">
        <is>
          <t>スレッドマージログ</t>
        </is>
      </c>
      <c r="C412" s="41" t="inlineStr">
        <is>
          <t>P2</t>
        </is>
      </c>
      <c r="D412" s="41" t="n"/>
    </row>
    <row r="413">
      <c r="A413" s="41" t="inlineStr">
        <is>
          <t>meeting_briefs</t>
        </is>
      </c>
      <c r="B413" s="41" t="inlineStr">
        <is>
          <t>商談前ブリーフィング</t>
        </is>
      </c>
      <c r="C413" s="41" t="inlineStr">
        <is>
          <t>P2</t>
        </is>
      </c>
      <c r="D413" s="41" t="n"/>
    </row>
    <row r="414">
      <c r="A414" s="41" t="inlineStr">
        <is>
          <t>recording_stages</t>
        </is>
      </c>
      <c r="B414" s="41" t="inlineStr">
        <is>
          <t>段階的処理状態</t>
        </is>
      </c>
      <c r="C414" s="41" t="inlineStr">
        <is>
          <t>P1</t>
        </is>
      </c>
      <c r="D414" s="41" t="n"/>
    </row>
    <row r="415">
      <c r="A415" s="41" t="inlineStr">
        <is>
          <t>recording_segments</t>
        </is>
      </c>
      <c r="B415" s="41" t="inlineStr">
        <is>
          <t>セグメント単位の発話/感度</t>
        </is>
      </c>
      <c r="C415" s="41" t="inlineStr">
        <is>
          <t>P1</t>
        </is>
      </c>
      <c r="D415" s="41" t="n"/>
    </row>
    <row r="416">
      <c r="A416" s="41" t="inlineStr">
        <is>
          <t>pii_redactions</t>
        </is>
      </c>
      <c r="B416" s="41" t="inlineStr">
        <is>
          <t>PIIマスキングログ</t>
        </is>
      </c>
      <c r="C416" s="41" t="inlineStr">
        <is>
          <t>P2</t>
        </is>
      </c>
      <c r="D416" s="41" t="n"/>
    </row>
    <row r="417">
      <c r="A417" s="41" t="inlineStr">
        <is>
          <t>external_summaries</t>
        </is>
      </c>
      <c r="B417" s="41" t="inlineStr">
        <is>
          <t>顧客向け要約</t>
        </is>
      </c>
      <c r="C417" s="41" t="inlineStr">
        <is>
          <t>P2</t>
        </is>
      </c>
      <c r="D417" s="41" t="n"/>
    </row>
    <row r="418">
      <c r="A418" s="41" t="inlineStr">
        <is>
          <t>complaints</t>
        </is>
      </c>
      <c r="B418" s="41" t="inlineStr">
        <is>
          <t>クレーム</t>
        </is>
      </c>
      <c r="C418" s="41" t="inlineStr">
        <is>
          <t>P3</t>
        </is>
      </c>
      <c r="D418" s="41" t="n"/>
    </row>
    <row r="419">
      <c r="A419" s="41" t="inlineStr">
        <is>
          <t>complaint_meeting_links</t>
        </is>
      </c>
      <c r="B419" s="41" t="inlineStr">
        <is>
          <t>クレーム×商談紐付け</t>
        </is>
      </c>
      <c r="C419" s="41" t="inlineStr">
        <is>
          <t>P3</t>
        </is>
      </c>
      <c r="D419" s="41" t="n"/>
    </row>
    <row r="420">
      <c r="A420" s="41" t="inlineStr">
        <is>
          <t>lessons_learned</t>
        </is>
      </c>
      <c r="B420" s="41" t="inlineStr">
        <is>
          <t>教訓</t>
        </is>
      </c>
      <c r="C420" s="41" t="inlineStr">
        <is>
          <t>P3</t>
        </is>
      </c>
      <c r="D420" s="41" t="n"/>
    </row>
    <row r="421">
      <c r="A421" s="41" t="inlineStr">
        <is>
          <t>roleplay_scenario_variants</t>
        </is>
      </c>
      <c r="B421" s="41" t="inlineStr">
        <is>
          <t>シナリオバリエーション</t>
        </is>
      </c>
      <c r="C421" s="41" t="inlineStr">
        <is>
          <t>P3</t>
        </is>
      </c>
      <c r="D421" s="41" t="n"/>
    </row>
    <row r="422">
      <c r="A422" s="41" t="inlineStr">
        <is>
          <t>roleplay_failure_patterns</t>
        </is>
      </c>
      <c r="B422" s="41" t="inlineStr">
        <is>
          <t>失敗パターン集計</t>
        </is>
      </c>
      <c r="C422" s="41" t="inlineStr">
        <is>
          <t>P3</t>
        </is>
      </c>
      <c r="D422" s="41" t="n"/>
    </row>
    <row r="423">
      <c r="A423" s="41" t="inlineStr">
        <is>
          <t>top_performer_phrases</t>
        </is>
      </c>
      <c r="B423" s="41" t="inlineStr">
        <is>
          <t>トップ営業表現</t>
        </is>
      </c>
      <c r="C423" s="41" t="inlineStr">
        <is>
          <t>P3</t>
        </is>
      </c>
      <c r="D423" s="41" t="n"/>
    </row>
    <row r="424">
      <c r="A424" s="41" t="inlineStr">
        <is>
          <t>product_positioning_phrases</t>
        </is>
      </c>
      <c r="B424" s="41" t="inlineStr">
        <is>
          <t>製品説明テンプレ</t>
        </is>
      </c>
      <c r="C424" s="41" t="inlineStr">
        <is>
          <t>P3</t>
        </is>
      </c>
      <c r="D424" s="41" t="n"/>
    </row>
    <row r="425">
      <c r="A425" s="41" t="inlineStr">
        <is>
          <t>loss_analyses</t>
        </is>
      </c>
      <c r="B425" s="41" t="inlineStr">
        <is>
          <t>失注分析</t>
        </is>
      </c>
      <c r="C425" s="41" t="inlineStr">
        <is>
          <t>P3</t>
        </is>
      </c>
      <c r="D425" s="41" t="n"/>
    </row>
    <row r="426">
      <c r="A426" s="41" t="inlineStr">
        <is>
          <t>alignment_reports</t>
        </is>
      </c>
      <c r="B426" s="41" t="inlineStr">
        <is>
          <t>認識ズレ報告</t>
        </is>
      </c>
      <c r="C426" s="41" t="inlineStr">
        <is>
          <t>P2</t>
        </is>
      </c>
      <c r="D426" s="41" t="n"/>
    </row>
    <row r="427">
      <c r="A427" s="41" t="inlineStr">
        <is>
          <t>contract_renewals</t>
        </is>
      </c>
      <c r="B427" s="41" t="inlineStr">
        <is>
          <t>契約更新スケジュール</t>
        </is>
      </c>
      <c r="C427" s="41" t="inlineStr">
        <is>
          <t>P2</t>
        </is>
      </c>
      <c r="D427" s="41" t="n"/>
    </row>
    <row r="428">
      <c r="A428" s="41" t="inlineStr">
        <is>
          <t>upsell_signals</t>
        </is>
      </c>
      <c r="B428" s="41" t="inlineStr">
        <is>
          <t>アップセル機会</t>
        </is>
      </c>
      <c r="C428" s="41" t="inlineStr">
        <is>
          <t>P3</t>
        </is>
      </c>
      <c r="D428" s="41" t="n"/>
    </row>
    <row r="429">
      <c r="A429" s="41" t="inlineStr">
        <is>
          <t>email_undo_tokens</t>
        </is>
      </c>
      <c r="B429" s="41" t="inlineStr">
        <is>
          <t>メール送信undoトークン</t>
        </is>
      </c>
      <c r="C429" s="41" t="inlineStr">
        <is>
          <t>P2</t>
        </is>
      </c>
      <c r="D429" s="41" t="n"/>
    </row>
    <row r="430">
      <c r="A430" s="41" t="inlineStr">
        <is>
          <t>sync_failure_log</t>
        </is>
      </c>
      <c r="B430" s="41" t="inlineStr">
        <is>
          <t>同期失敗ログ</t>
        </is>
      </c>
      <c r="C430" s="41" t="inlineStr">
        <is>
          <t>P1</t>
        </is>
      </c>
      <c r="D430" s="41" t="n"/>
    </row>
    <row r="431">
      <c r="A431" s="41" t="inlineStr">
        <is>
          <t>permission_requests</t>
        </is>
      </c>
      <c r="B431" s="41" t="inlineStr">
        <is>
          <t>権限申請</t>
        </is>
      </c>
      <c r="C431" s="41" t="inlineStr">
        <is>
          <t>P2</t>
        </is>
      </c>
      <c r="D431" s="41" t="n"/>
    </row>
    <row r="432">
      <c r="A432" s="41" t="inlineStr">
        <is>
          <t>autosave_drafts</t>
        </is>
      </c>
      <c r="B432" s="41" t="inlineStr">
        <is>
          <t>自動保存ドラフト</t>
        </is>
      </c>
      <c r="C432" s="41" t="inlineStr">
        <is>
          <t>P1</t>
        </is>
      </c>
      <c r="D432" s="41" t="n"/>
    </row>
    <row r="433">
      <c r="A433" s="41" t="inlineStr">
        <is>
          <t>dangerous_action_audits</t>
        </is>
      </c>
      <c r="B433" s="41" t="inlineStr">
        <is>
          <t>破壊的操作監査</t>
        </is>
      </c>
      <c r="C433" s="41" t="inlineStr">
        <is>
          <t>P2</t>
        </is>
      </c>
      <c r="D433" s="41" t="n"/>
    </row>
    <row r="434">
      <c r="A434" s="41" t="inlineStr">
        <is>
          <t>meeting_consent_captures</t>
        </is>
      </c>
      <c r="B434" s="41" t="inlineStr">
        <is>
          <t>録画同意ログ</t>
        </is>
      </c>
      <c r="C434" s="41" t="inlineStr">
        <is>
          <t>P2</t>
        </is>
      </c>
      <c r="D434" s="41" t="n"/>
    </row>
    <row r="435">
      <c r="A435" s="41" t="inlineStr">
        <is>
          <t>data_deletion_requests</t>
        </is>
      </c>
      <c r="B435" s="41" t="inlineStr">
        <is>
          <t>データ削除依頼</t>
        </is>
      </c>
      <c r="C435" s="41" t="inlineStr">
        <is>
          <t>P2</t>
        </is>
      </c>
      <c r="D435" s="41" t="n"/>
    </row>
    <row r="436">
      <c r="A436" s="41" t="inlineStr">
        <is>
          <t>ex_employee_speech_policies</t>
        </is>
      </c>
      <c r="B436" s="41" t="inlineStr">
        <is>
          <t>退職者発言ポリシー</t>
        </is>
      </c>
      <c r="C436" s="41" t="inlineStr">
        <is>
          <t>P3</t>
        </is>
      </c>
      <c r="D436" s="41" t="n"/>
    </row>
    <row r="437">
      <c r="A437" s="41" t="inlineStr">
        <is>
          <t>legal_disclosure_requests</t>
        </is>
      </c>
      <c r="B437" s="41" t="inlineStr">
        <is>
          <t>法的開示請求</t>
        </is>
      </c>
      <c r="C437" s="41" t="inlineStr">
        <is>
          <t>P3</t>
        </is>
      </c>
      <c r="D437" s="41" t="n"/>
    </row>
    <row r="438">
      <c r="A438" s="41" t="inlineStr">
        <is>
          <t>data_residency_config</t>
        </is>
      </c>
      <c r="B438" s="41" t="inlineStr">
        <is>
          <t>データ保管地域</t>
        </is>
      </c>
      <c r="C438" s="41" t="inlineStr">
        <is>
          <t>P1</t>
        </is>
      </c>
      <c r="D438" s="41" t="n"/>
    </row>
    <row r="439">
      <c r="A439" s="41" t="inlineStr">
        <is>
          <t>sample_data_seeds</t>
        </is>
      </c>
      <c r="B439" s="41" t="inlineStr">
        <is>
          <t>サンプルデータシード</t>
        </is>
      </c>
      <c r="C439" s="41" t="inlineStr">
        <is>
          <t>P1</t>
        </is>
      </c>
      <c r="D439" s="41" t="n"/>
    </row>
    <row r="440">
      <c r="A440" s="41" t="inlineStr">
        <is>
          <t>legacy_import_jobs</t>
        </is>
      </c>
      <c r="B440" s="41" t="inlineStr">
        <is>
          <t>レガシーインポートjob</t>
        </is>
      </c>
      <c r="C440" s="41" t="inlineStr">
        <is>
          <t>P2</t>
        </is>
      </c>
      <c r="D440" s="41" t="n"/>
    </row>
    <row r="441">
      <c r="A441" s="41" t="inlineStr">
        <is>
          <t>zoom_historical_imports</t>
        </is>
      </c>
      <c r="B441" s="41" t="inlineStr">
        <is>
          <t>Zoom過去取り込みjob</t>
        </is>
      </c>
      <c r="C441" s="41" t="inlineStr">
        <is>
          <t>P3</t>
        </is>
      </c>
      <c r="D441" s="41" t="n"/>
    </row>
    <row r="442">
      <c r="A442" s="41" t="inlineStr">
        <is>
          <t>onboarding_recommendations</t>
        </is>
      </c>
      <c r="B442" s="41" t="inlineStr">
        <is>
          <t>新人向け推奨</t>
        </is>
      </c>
      <c r="C442" s="41" t="inlineStr">
        <is>
          <t>P3</t>
        </is>
      </c>
      <c r="D442" s="41" t="n"/>
    </row>
    <row r="443">
      <c r="A443" s="41" t="inlineStr">
        <is>
          <t>recent_views</t>
        </is>
      </c>
      <c r="B443" s="41" t="inlineStr">
        <is>
          <t>最近見たもの</t>
        </is>
      </c>
      <c r="C443" s="41" t="inlineStr">
        <is>
          <t>P1</t>
        </is>
      </c>
      <c r="D443" s="41" t="n"/>
    </row>
    <row r="444">
      <c r="A444" s="41" t="inlineStr">
        <is>
          <t>search_ranking_logs</t>
        </is>
      </c>
      <c r="B444" s="41" t="inlineStr">
        <is>
          <t>検索ランキング説明用</t>
        </is>
      </c>
      <c r="C444" s="41" t="inlineStr">
        <is>
          <t>P2</t>
        </is>
      </c>
      <c r="D444" s="41" t="n"/>
    </row>
    <row r="445">
      <c r="A445" s="41" t="inlineStr">
        <is>
          <t>knowledge_deprecations</t>
        </is>
      </c>
      <c r="B445" s="41" t="inlineStr">
        <is>
          <t>ナレッジ撤回管理</t>
        </is>
      </c>
      <c r="C445" s="41" t="inlineStr">
        <is>
          <t>P2</t>
        </is>
      </c>
      <c r="D445" s="41" t="n"/>
    </row>
    <row r="446">
      <c r="A446" s="41" t="inlineStr">
        <is>
          <t>chat_citations</t>
        </is>
      </c>
      <c r="B446" s="41" t="inlineStr">
        <is>
          <t>チャット引用必須</t>
        </is>
      </c>
      <c r="C446" s="41" t="inlineStr">
        <is>
          <t>P3</t>
        </is>
      </c>
      <c r="D446" s="41" t="n"/>
    </row>
    <row r="447">
      <c r="A447" s="41" t="inlineStr">
        <is>
          <t>push_subscriptions</t>
        </is>
      </c>
      <c r="B447" s="41" t="inlineStr">
        <is>
          <t>Web Push購読</t>
        </is>
      </c>
      <c r="C447" s="41" t="inlineStr">
        <is>
          <t>P2</t>
        </is>
      </c>
      <c r="D447" s="41" t="n"/>
    </row>
    <row r="448">
      <c r="A448" s="41" t="inlineStr">
        <is>
          <t>voice_memos</t>
        </is>
      </c>
      <c r="B448" s="41" t="inlineStr">
        <is>
          <t>音声メモ</t>
        </is>
      </c>
      <c r="C448" s="41" t="inlineStr">
        <is>
          <t>P2</t>
        </is>
      </c>
      <c r="D448" s="41" t="n"/>
    </row>
    <row r="449">
      <c r="A449" s="41" t="inlineStr">
        <is>
          <t>service_worker_cache_manifest</t>
        </is>
      </c>
      <c r="B449" s="41" t="inlineStr">
        <is>
          <t>SWキャッシュ仕様</t>
        </is>
      </c>
      <c r="C449" s="41" t="inlineStr">
        <is>
          <t>P2</t>
        </is>
      </c>
      <c r="D449" s="41" t="n"/>
    </row>
    <row r="450">
      <c r="A450" s="41" t="inlineStr">
        <is>
          <t>data_exports</t>
        </is>
      </c>
      <c r="B450" s="41" t="inlineStr">
        <is>
          <t>個人データエクスポート</t>
        </is>
      </c>
      <c r="C450" s="41" t="inlineStr">
        <is>
          <t>P3</t>
        </is>
      </c>
      <c r="D450" s="41" t="n"/>
    </row>
    <row r="451">
      <c r="A451" s="41" t="inlineStr">
        <is>
          <t>backup_status</t>
        </is>
      </c>
      <c r="B451" s="41" t="inlineStr">
        <is>
          <t>バックアップ状態</t>
        </is>
      </c>
      <c r="C451" s="41" t="inlineStr">
        <is>
          <t>P2</t>
        </is>
      </c>
      <c r="D451" s="41" t="n"/>
    </row>
    <row r="452">
      <c r="A452" s="41" t="inlineStr">
        <is>
          <t>state_machine_definitions</t>
        </is>
      </c>
      <c r="B452" s="41" t="inlineStr">
        <is>
          <t>状態機械定義(参照用)</t>
        </is>
      </c>
      <c r="C452" s="41" t="inlineStr">
        <is>
          <t>P2</t>
        </is>
      </c>
      <c r="D452" s="41" t="n"/>
    </row>
    <row r="453">
      <c r="A453" s="41" t="inlineStr">
        <is>
          <t>i18n_messages</t>
        </is>
      </c>
      <c r="B453" s="41" t="inlineStr">
        <is>
          <t>翻訳辞書</t>
        </is>
      </c>
      <c r="C453" s="41" t="inlineStr">
        <is>
          <t>P3</t>
        </is>
      </c>
      <c r="D453" s="41" t="n"/>
    </row>
    <row r="454">
      <c r="A454" s="41" t="inlineStr">
        <is>
          <t>accessibility_audits</t>
        </is>
      </c>
      <c r="B454" s="41" t="inlineStr">
        <is>
          <t>a11y監査</t>
        </is>
      </c>
      <c r="C454" s="41" t="inlineStr">
        <is>
          <t>P3</t>
        </is>
      </c>
      <c r="D454" s="41" t="n"/>
    </row>
    <row r="455">
      <c r="A455" s="41" t="inlineStr">
        <is>
          <t>help_articles</t>
        </is>
      </c>
      <c r="B455" s="41" t="inlineStr">
        <is>
          <t>ヘルプ記事</t>
        </is>
      </c>
      <c r="C455" s="41" t="inlineStr">
        <is>
          <t>P2</t>
        </is>
      </c>
      <c r="D455" s="41" t="n"/>
    </row>
    <row r="456">
      <c r="A456" s="41" t="inlineStr">
        <is>
          <t>feature_flags</t>
        </is>
      </c>
      <c r="B456" s="41" t="inlineStr">
        <is>
          <t>機能フラグ</t>
        </is>
      </c>
      <c r="C456" s="41" t="inlineStr">
        <is>
          <t>P2</t>
        </is>
      </c>
      <c r="D456" s="41" t="n"/>
    </row>
    <row r="457">
      <c r="A457" s="41" t="inlineStr">
        <is>
          <t>ab_test_experiments</t>
        </is>
      </c>
      <c r="B457" s="41" t="inlineStr">
        <is>
          <t>A/Bテスト</t>
        </is>
      </c>
      <c r="C457" s="41" t="inlineStr">
        <is>
          <t>P3</t>
        </is>
      </c>
      <c r="D457" s="41" t="n"/>
    </row>
    <row r="458">
      <c r="A458" s="41" t="inlineStr">
        <is>
          <t>ab_test_assignments</t>
        </is>
      </c>
      <c r="B458" s="41" t="inlineStr">
        <is>
          <t>A/Bテスト割当</t>
        </is>
      </c>
      <c r="C458" s="41" t="inlineStr">
        <is>
          <t>P3</t>
        </is>
      </c>
      <c r="D458" s="41" t="n"/>
    </row>
    <row r="459">
      <c r="A459" s="41" t="inlineStr">
        <is>
          <t>ab_test_metrics</t>
        </is>
      </c>
      <c r="B459" s="41" t="inlineStr">
        <is>
          <t>A/Bテスト計測</t>
        </is>
      </c>
      <c r="C459" s="41" t="inlineStr">
        <is>
          <t>P3</t>
        </is>
      </c>
      <c r="D459" s="41" t="n"/>
    </row>
    <row r="460">
      <c r="A460" s="41" t="inlineStr">
        <is>
          <t>browser_notification_log</t>
        </is>
      </c>
      <c r="B460" s="41" t="inlineStr">
        <is>
          <t>ブラウザ通知ログ</t>
        </is>
      </c>
      <c r="C460" s="41" t="inlineStr">
        <is>
          <t>P2</t>
        </is>
      </c>
      <c r="D460" s="41" t="n"/>
    </row>
    <row r="461">
      <c r="A461" s="41" t="inlineStr">
        <is>
          <t>realtime_presence</t>
        </is>
      </c>
      <c r="B461" s="41" t="inlineStr">
        <is>
          <t>リアルタイムプレゼンス</t>
        </is>
      </c>
      <c r="C461" s="41" t="inlineStr">
        <is>
          <t>P2</t>
        </is>
      </c>
      <c r="D461" s="41" t="n"/>
    </row>
    <row r="462">
      <c r="A462" s="41" t="inlineStr">
        <is>
          <t>optimistic_lock_versions</t>
        </is>
      </c>
      <c r="B462" s="41" t="inlineStr">
        <is>
          <t>楽観ロック衝突</t>
        </is>
      </c>
      <c r="C462" s="41" t="inlineStr">
        <is>
          <t>P2</t>
        </is>
      </c>
      <c r="D462" s="41" t="n"/>
    </row>
    <row r="464">
      <c r="A464" s="41" t="inlineStr">
        <is>
          <t>▼ business_card_images</t>
        </is>
      </c>
      <c r="B464" s="41" t="n"/>
      <c r="C464" s="41" t="n"/>
      <c r="D464" s="41" t="n"/>
    </row>
    <row r="465">
      <c r="A465" s="41" t="inlineStr">
        <is>
          <t>カラム</t>
        </is>
      </c>
      <c r="B465" s="41" t="inlineStr">
        <is>
          <t>型</t>
        </is>
      </c>
      <c r="C465" s="41" t="inlineStr">
        <is>
          <t>説明</t>
        </is>
      </c>
      <c r="D465" s="41" t="inlineStr">
        <is>
          <t>必須</t>
        </is>
      </c>
    </row>
    <row r="466">
      <c r="A466" s="41" t="inlineStr">
        <is>
          <t>id</t>
        </is>
      </c>
      <c r="B466" s="41" t="inlineStr">
        <is>
          <t>uuid PK</t>
        </is>
      </c>
      <c r="C466" s="41" t="inlineStr"/>
      <c r="D466" s="41" t="n"/>
    </row>
    <row r="467">
      <c r="A467" s="41" t="inlineStr">
        <is>
          <t>contact_id</t>
        </is>
      </c>
      <c r="B467" s="41" t="inlineStr">
        <is>
          <t>uuid REFERENCES contacts(id) ON DELETE CASCADE</t>
        </is>
      </c>
      <c r="C467" s="41" t="inlineStr"/>
      <c r="D467" s="41" t="n"/>
    </row>
    <row r="468">
      <c r="A468" s="41" t="inlineStr">
        <is>
          <t>side</t>
        </is>
      </c>
      <c r="B468" s="41" t="inlineStr">
        <is>
          <t>text CHECK (side IN ('front','back'))</t>
        </is>
      </c>
      <c r="C468" s="41" t="inlineStr">
        <is>
          <t>表/裏</t>
        </is>
      </c>
      <c r="D468" s="41" t="inlineStr">
        <is>
          <t>必須</t>
        </is>
      </c>
    </row>
    <row r="469">
      <c r="A469" s="41" t="inlineStr">
        <is>
          <t>storage_url</t>
        </is>
      </c>
      <c r="B469" s="41" t="inlineStr">
        <is>
          <t>text</t>
        </is>
      </c>
      <c r="C469" s="41" t="inlineStr">
        <is>
          <t>R2 URL</t>
        </is>
      </c>
      <c r="D469" s="41" t="inlineStr">
        <is>
          <t>必須</t>
        </is>
      </c>
    </row>
    <row r="470">
      <c r="A470" s="41" t="inlineStr">
        <is>
          <t>ocr_confidence</t>
        </is>
      </c>
      <c r="B470" s="41" t="inlineStr">
        <is>
          <t>numeric(3,2)</t>
        </is>
      </c>
      <c r="C470" s="41" t="inlineStr">
        <is>
          <t>0-1</t>
        </is>
      </c>
      <c r="D470" s="41" t="inlineStr">
        <is>
          <t>任意</t>
        </is>
      </c>
    </row>
    <row r="471">
      <c r="A471" s="41" t="inlineStr">
        <is>
          <t>classification</t>
        </is>
      </c>
      <c r="B471" s="41" t="inlineStr">
        <is>
          <t>text</t>
        </is>
      </c>
      <c r="C471" s="41" t="inlineStr">
        <is>
          <t>ML分類(card|pamphlet|memo|qr_only|other)</t>
        </is>
      </c>
      <c r="D471" s="41" t="inlineStr">
        <is>
          <t>必須</t>
        </is>
      </c>
    </row>
    <row r="472">
      <c r="A472" s="41" t="inlineStr">
        <is>
          <t>captured_lat</t>
        </is>
      </c>
      <c r="B472" s="41" t="inlineStr">
        <is>
          <t>numeric(9,6)</t>
        </is>
      </c>
      <c r="C472" s="41" t="inlineStr">
        <is>
          <t>撮影緯度</t>
        </is>
      </c>
      <c r="D472" s="41" t="inlineStr">
        <is>
          <t>任意</t>
        </is>
      </c>
    </row>
    <row r="473">
      <c r="A473" s="41" t="inlineStr">
        <is>
          <t>captured_lng</t>
        </is>
      </c>
      <c r="B473" s="41" t="inlineStr">
        <is>
          <t>numeric(9,6)</t>
        </is>
      </c>
      <c r="C473" s="41" t="inlineStr">
        <is>
          <t>撮影経度</t>
        </is>
      </c>
      <c r="D473" s="41" t="inlineStr">
        <is>
          <t>任意</t>
        </is>
      </c>
    </row>
    <row r="474">
      <c r="A474" s="41" t="inlineStr">
        <is>
          <t>captured_at</t>
        </is>
      </c>
      <c r="B474" s="41" t="inlineStr">
        <is>
          <t>timestamptz DEFAULT now()</t>
        </is>
      </c>
      <c r="C474" s="41" t="inlineStr"/>
      <c r="D474" s="41" t="n"/>
    </row>
    <row r="475">
      <c r="A475" s="41" t="inlineStr">
        <is>
          <t>light_quality</t>
        </is>
      </c>
      <c r="B475" s="41" t="inlineStr">
        <is>
          <t>text</t>
        </is>
      </c>
      <c r="C475" s="41" t="inlineStr">
        <is>
          <t>暗所/反射判定(ok|low_light|reflection|tilt)</t>
        </is>
      </c>
      <c r="D475" s="41" t="inlineStr">
        <is>
          <t>任意</t>
        </is>
      </c>
    </row>
    <row r="476">
      <c r="A476" s="41" t="inlineStr">
        <is>
          <t>created_by</t>
        </is>
      </c>
      <c r="B476" s="41" t="inlineStr">
        <is>
          <t>uuid REFERENCES users(id)</t>
        </is>
      </c>
      <c r="C476" s="41" t="inlineStr"/>
      <c r="D476" s="41" t="n"/>
    </row>
    <row r="477">
      <c r="A477" s="41" t="n"/>
      <c r="B477" s="41" t="n"/>
      <c r="C477" s="41" t="n"/>
      <c r="D477" s="41" t="n"/>
    </row>
    <row r="478">
      <c r="A478" s="41" t="inlineStr">
        <is>
          <t>▼ contact_memos</t>
        </is>
      </c>
      <c r="B478" s="41" t="n"/>
      <c r="C478" s="41" t="n"/>
      <c r="D478" s="41" t="n"/>
    </row>
    <row r="479">
      <c r="A479" s="41" t="inlineStr">
        <is>
          <t>カラム</t>
        </is>
      </c>
      <c r="B479" s="41" t="inlineStr">
        <is>
          <t>型</t>
        </is>
      </c>
      <c r="C479" s="41" t="inlineStr">
        <is>
          <t>説明</t>
        </is>
      </c>
      <c r="D479" s="41" t="inlineStr">
        <is>
          <t>必須</t>
        </is>
      </c>
    </row>
    <row r="480">
      <c r="A480" s="41" t="inlineStr">
        <is>
          <t>id</t>
        </is>
      </c>
      <c r="B480" s="41" t="inlineStr">
        <is>
          <t>uuid PK</t>
        </is>
      </c>
      <c r="C480" s="41" t="inlineStr"/>
      <c r="D480" s="41" t="n"/>
    </row>
    <row r="481">
      <c r="A481" s="41" t="inlineStr">
        <is>
          <t>contact_id</t>
        </is>
      </c>
      <c r="B481" s="41" t="inlineStr">
        <is>
          <t>uuid REFERENCES contacts(id) ON DELETE CASCADE</t>
        </is>
      </c>
      <c r="C481" s="41" t="inlineStr"/>
      <c r="D481" s="41" t="n"/>
    </row>
    <row r="482">
      <c r="A482" s="41" t="inlineStr">
        <is>
          <t>kind</t>
        </is>
      </c>
      <c r="B482" s="41" t="inlineStr">
        <is>
          <t>text CHECK (kind IN ('voice','text'))</t>
        </is>
      </c>
      <c r="C482" s="41" t="inlineStr"/>
      <c r="D482" s="41" t="n"/>
    </row>
    <row r="483">
      <c r="A483" s="41" t="inlineStr">
        <is>
          <t>content</t>
        </is>
      </c>
      <c r="B483" s="41" t="inlineStr">
        <is>
          <t>text</t>
        </is>
      </c>
      <c r="C483" s="41" t="inlineStr">
        <is>
          <t>音声はWhisper結果、textはそのまま</t>
        </is>
      </c>
      <c r="D483" s="41" t="inlineStr">
        <is>
          <t>必須</t>
        </is>
      </c>
    </row>
    <row r="484">
      <c r="A484" s="41" t="inlineStr">
        <is>
          <t>audio_storage_url</t>
        </is>
      </c>
      <c r="B484" s="41" t="inlineStr">
        <is>
          <t>text</t>
        </is>
      </c>
      <c r="C484" s="41" t="inlineStr">
        <is>
          <t>音声原本(R2)</t>
        </is>
      </c>
      <c r="D484" s="41" t="inlineStr">
        <is>
          <t>任意</t>
        </is>
      </c>
    </row>
    <row r="485">
      <c r="A485" s="41" t="inlineStr">
        <is>
          <t>created_by</t>
        </is>
      </c>
      <c r="B485" s="41" t="inlineStr">
        <is>
          <t>uuid REFERENCES users(id)</t>
        </is>
      </c>
      <c r="C485" s="41" t="inlineStr"/>
      <c r="D485" s="41" t="n"/>
    </row>
    <row r="486">
      <c r="A486" s="41" t="inlineStr">
        <is>
          <t>created_at</t>
        </is>
      </c>
      <c r="B486" s="41" t="inlineStr">
        <is>
          <t>timestamptz DEFAULT now()</t>
        </is>
      </c>
      <c r="C486" s="41" t="inlineStr"/>
      <c r="D486" s="41" t="n"/>
    </row>
    <row r="487">
      <c r="A487" s="41" t="n"/>
      <c r="B487" s="41" t="n"/>
      <c r="C487" s="41" t="n"/>
      <c r="D487" s="41" t="n"/>
    </row>
    <row r="488">
      <c r="A488" s="41" t="inlineStr">
        <is>
          <t>▼ events</t>
        </is>
      </c>
      <c r="B488" s="41" t="n"/>
      <c r="C488" s="41" t="n"/>
      <c r="D488" s="41" t="n"/>
    </row>
    <row r="489">
      <c r="A489" s="41" t="inlineStr">
        <is>
          <t>カラム</t>
        </is>
      </c>
      <c r="B489" s="41" t="inlineStr">
        <is>
          <t>型</t>
        </is>
      </c>
      <c r="C489" s="41" t="inlineStr">
        <is>
          <t>説明</t>
        </is>
      </c>
      <c r="D489" s="41" t="inlineStr">
        <is>
          <t>必須</t>
        </is>
      </c>
    </row>
    <row r="490">
      <c r="A490" s="41" t="inlineStr">
        <is>
          <t>id</t>
        </is>
      </c>
      <c r="B490" s="41" t="inlineStr">
        <is>
          <t>uuid PK</t>
        </is>
      </c>
      <c r="C490" s="41" t="inlineStr"/>
      <c r="D490" s="41" t="n"/>
    </row>
    <row r="491">
      <c r="A491" s="41" t="inlineStr">
        <is>
          <t>org_id</t>
        </is>
      </c>
      <c r="B491" s="41" t="inlineStr">
        <is>
          <t>uuid</t>
        </is>
      </c>
      <c r="C491" s="41" t="inlineStr"/>
      <c r="D491" s="41" t="n"/>
    </row>
    <row r="492">
      <c r="A492" s="41" t="inlineStr">
        <is>
          <t>name</t>
        </is>
      </c>
      <c r="B492" s="41" t="inlineStr">
        <is>
          <t>text NOT NULL</t>
        </is>
      </c>
      <c r="C492" s="41" t="inlineStr">
        <is>
          <t>「2026/4 Tech交流会」</t>
        </is>
      </c>
      <c r="D492" s="41" t="inlineStr">
        <is>
          <t>必須</t>
        </is>
      </c>
    </row>
    <row r="493">
      <c r="A493" s="41" t="inlineStr">
        <is>
          <t>started_at</t>
        </is>
      </c>
      <c r="B493" s="41" t="inlineStr">
        <is>
          <t>timestamptz</t>
        </is>
      </c>
      <c r="C493" s="41" t="inlineStr"/>
      <c r="D493" s="41" t="n"/>
    </row>
    <row r="494">
      <c r="A494" s="41" t="inlineStr">
        <is>
          <t>ended_at</t>
        </is>
      </c>
      <c r="B494" s="41" t="inlineStr">
        <is>
          <t>timestamptz</t>
        </is>
      </c>
      <c r="C494" s="41" t="inlineStr"/>
      <c r="D494" s="41" t="n"/>
    </row>
    <row r="495">
      <c r="A495" s="41" t="inlineStr">
        <is>
          <t>location</t>
        </is>
      </c>
      <c r="B495" s="41" t="inlineStr">
        <is>
          <t>text</t>
        </is>
      </c>
      <c r="C495" s="41" t="inlineStr"/>
      <c r="D495" s="41" t="n"/>
    </row>
    <row r="496">
      <c r="A496" s="41" t="inlineStr">
        <is>
          <t>created_by</t>
        </is>
      </c>
      <c r="B496" s="41" t="inlineStr">
        <is>
          <t>uuid REFERENCES users(id)</t>
        </is>
      </c>
      <c r="C496" s="41" t="inlineStr"/>
      <c r="D496" s="41" t="n"/>
    </row>
    <row r="497">
      <c r="A497" s="41" t="n"/>
      <c r="B497" s="41" t="n"/>
      <c r="C497" s="41" t="n"/>
      <c r="D497" s="41" t="n"/>
    </row>
    <row r="498">
      <c r="A498" s="41" t="inlineStr">
        <is>
          <t>▼ contact_event_tags</t>
        </is>
      </c>
      <c r="B498" s="41" t="n"/>
      <c r="C498" s="41" t="n"/>
      <c r="D498" s="41" t="n"/>
    </row>
    <row r="499">
      <c r="A499" s="41" t="inlineStr">
        <is>
          <t>カラム</t>
        </is>
      </c>
      <c r="B499" s="41" t="inlineStr">
        <is>
          <t>型</t>
        </is>
      </c>
      <c r="C499" s="41" t="inlineStr">
        <is>
          <t>説明</t>
        </is>
      </c>
      <c r="D499" s="41" t="inlineStr">
        <is>
          <t>必須</t>
        </is>
      </c>
    </row>
    <row r="500">
      <c r="A500" s="41" t="inlineStr">
        <is>
          <t>contact_id</t>
        </is>
      </c>
      <c r="B500" s="41" t="inlineStr">
        <is>
          <t>uuid REFERENCES contacts(id) ON DELETE CASCADE</t>
        </is>
      </c>
      <c r="C500" s="41" t="inlineStr"/>
      <c r="D500" s="41" t="n"/>
    </row>
    <row r="501">
      <c r="A501" s="41" t="inlineStr">
        <is>
          <t>event_id</t>
        </is>
      </c>
      <c r="B501" s="41" t="inlineStr">
        <is>
          <t>uuid REFERENCES events(id) ON DELETE CASCADE</t>
        </is>
      </c>
      <c r="C501" s="41" t="inlineStr"/>
      <c r="D501" s="41" t="n"/>
    </row>
    <row r="502">
      <c r="A502" s="41" t="inlineStr">
        <is>
          <t>PRIMARY KEY</t>
        </is>
      </c>
      <c r="B502" s="41" t="inlineStr">
        <is>
          <t>(contact_id, event_id)</t>
        </is>
      </c>
      <c r="C502" s="41" t="inlineStr"/>
      <c r="D502" s="41" t="n"/>
    </row>
    <row r="503">
      <c r="A503" s="41" t="n"/>
      <c r="B503" s="41" t="n"/>
      <c r="C503" s="41" t="n"/>
      <c r="D503" s="41" t="n"/>
    </row>
    <row r="504">
      <c r="A504" s="41" t="inlineStr">
        <is>
          <t>▼ offline_queue</t>
        </is>
      </c>
      <c r="B504" s="41" t="n"/>
      <c r="C504" s="41" t="n"/>
      <c r="D504" s="41" t="n"/>
    </row>
    <row r="505">
      <c r="A505" s="41" t="inlineStr">
        <is>
          <t>カラム</t>
        </is>
      </c>
      <c r="B505" s="41" t="inlineStr">
        <is>
          <t>型</t>
        </is>
      </c>
      <c r="C505" s="41" t="inlineStr">
        <is>
          <t>説明</t>
        </is>
      </c>
      <c r="D505" s="41" t="inlineStr">
        <is>
          <t>必須</t>
        </is>
      </c>
    </row>
    <row r="506">
      <c r="A506" s="41" t="inlineStr">
        <is>
          <t>id</t>
        </is>
      </c>
      <c r="B506" s="41" t="inlineStr">
        <is>
          <t>uuid PK</t>
        </is>
      </c>
      <c r="C506" s="41" t="inlineStr"/>
      <c r="D506" s="41" t="n"/>
    </row>
    <row r="507">
      <c r="A507" s="41" t="inlineStr">
        <is>
          <t>user_id</t>
        </is>
      </c>
      <c r="B507" s="41" t="inlineStr">
        <is>
          <t>uuid REFERENCES users(id) ON DELETE CASCADE</t>
        </is>
      </c>
      <c r="C507" s="41" t="inlineStr"/>
      <c r="D507" s="41" t="n"/>
    </row>
    <row r="508">
      <c r="A508" s="41" t="inlineStr">
        <is>
          <t>client_id</t>
        </is>
      </c>
      <c r="B508" s="41" t="inlineStr">
        <is>
          <t>text</t>
        </is>
      </c>
      <c r="C508" s="41" t="inlineStr">
        <is>
          <t>Idempotency用</t>
        </is>
      </c>
      <c r="D508" s="41" t="inlineStr">
        <is>
          <t>必須</t>
        </is>
      </c>
    </row>
    <row r="509">
      <c r="A509" s="41" t="inlineStr">
        <is>
          <t>payload</t>
        </is>
      </c>
      <c r="B509" s="41" t="inlineStr">
        <is>
          <t>jsonb</t>
        </is>
      </c>
      <c r="C509" s="41" t="inlineStr"/>
      <c r="D509" s="41" t="n"/>
    </row>
    <row r="510">
      <c r="A510" s="41" t="inlineStr">
        <is>
          <t>status</t>
        </is>
      </c>
      <c r="B510" s="41" t="inlineStr">
        <is>
          <t>text CHECK (status IN ('queued','syncing','done','failed'))</t>
        </is>
      </c>
      <c r="C510" s="41" t="inlineStr"/>
      <c r="D510" s="41" t="n"/>
    </row>
    <row r="511">
      <c r="A511" s="41" t="inlineStr">
        <is>
          <t>error_message</t>
        </is>
      </c>
      <c r="B511" s="41" t="inlineStr">
        <is>
          <t>text</t>
        </is>
      </c>
      <c r="C511" s="41" t="inlineStr"/>
      <c r="D511" s="41" t="n"/>
    </row>
    <row r="512">
      <c r="A512" s="41" t="inlineStr">
        <is>
          <t>queued_at</t>
        </is>
      </c>
      <c r="B512" s="41" t="inlineStr">
        <is>
          <t>timestamptz DEFAULT now()</t>
        </is>
      </c>
      <c r="C512" s="41" t="inlineStr"/>
      <c r="D512" s="41" t="n"/>
    </row>
    <row r="513">
      <c r="A513" s="41" t="inlineStr">
        <is>
          <t>synced_at</t>
        </is>
      </c>
      <c r="B513" s="41" t="inlineStr">
        <is>
          <t>timestamptz</t>
        </is>
      </c>
      <c r="C513" s="41" t="inlineStr"/>
      <c r="D513" s="41" t="n"/>
    </row>
    <row r="514">
      <c r="A514" s="41" t="inlineStr">
        <is>
          <t>UNIQUE</t>
        </is>
      </c>
      <c r="B514" s="41" t="inlineStr">
        <is>
          <t>(user_id, client_id)</t>
        </is>
      </c>
      <c r="C514" s="41" t="inlineStr">
        <is>
          <t>Idempotency</t>
        </is>
      </c>
      <c r="D514" s="41" t="inlineStr">
        <is>
          <t>必須</t>
        </is>
      </c>
    </row>
    <row r="515">
      <c r="A515" s="41" t="n"/>
      <c r="B515" s="41" t="n"/>
      <c r="C515" s="41" t="n"/>
      <c r="D515" s="41" t="n"/>
    </row>
    <row r="516">
      <c r="A516" s="41" t="inlineStr">
        <is>
          <t>▼ non_card_attachments</t>
        </is>
      </c>
      <c r="B516" s="41" t="n"/>
      <c r="C516" s="41" t="n"/>
      <c r="D516" s="41" t="n"/>
    </row>
    <row r="517">
      <c r="A517" s="41" t="inlineStr">
        <is>
          <t>カラム</t>
        </is>
      </c>
      <c r="B517" s="41" t="inlineStr">
        <is>
          <t>型</t>
        </is>
      </c>
      <c r="C517" s="41" t="inlineStr">
        <is>
          <t>説明</t>
        </is>
      </c>
      <c r="D517" s="41" t="inlineStr">
        <is>
          <t>必須</t>
        </is>
      </c>
    </row>
    <row r="518">
      <c r="A518" s="41" t="inlineStr">
        <is>
          <t>id</t>
        </is>
      </c>
      <c r="B518" s="41" t="inlineStr">
        <is>
          <t>uuid PK</t>
        </is>
      </c>
      <c r="C518" s="41" t="inlineStr"/>
      <c r="D518" s="41" t="n"/>
    </row>
    <row r="519">
      <c r="A519" s="41" t="inlineStr">
        <is>
          <t>uploader_id</t>
        </is>
      </c>
      <c r="B519" s="41" t="inlineStr">
        <is>
          <t>uuid REFERENCES users(id)</t>
        </is>
      </c>
      <c r="C519" s="41" t="inlineStr"/>
      <c r="D519" s="41" t="n"/>
    </row>
    <row r="520">
      <c r="A520" s="41" t="inlineStr">
        <is>
          <t>storage_url</t>
        </is>
      </c>
      <c r="B520" s="41" t="inlineStr">
        <is>
          <t>text</t>
        </is>
      </c>
      <c r="C520" s="41" t="inlineStr"/>
      <c r="D520" s="41" t="n"/>
    </row>
    <row r="521">
      <c r="A521" s="41" t="inlineStr">
        <is>
          <t>classification</t>
        </is>
      </c>
      <c r="B521" s="41" t="inlineStr">
        <is>
          <t>text</t>
        </is>
      </c>
      <c r="C521" s="41" t="inlineStr">
        <is>
          <t>pamphlet|memo|other</t>
        </is>
      </c>
      <c r="D521" s="41" t="inlineStr">
        <is>
          <t>必須</t>
        </is>
      </c>
    </row>
    <row r="522">
      <c r="A522" s="41" t="inlineStr">
        <is>
          <t>linked_meeting_id</t>
        </is>
      </c>
      <c r="B522" s="41" t="inlineStr">
        <is>
          <t>uuid</t>
        </is>
      </c>
      <c r="C522" s="41" t="inlineStr"/>
      <c r="D522" s="41" t="n"/>
    </row>
    <row r="523">
      <c r="A523" s="41" t="inlineStr">
        <is>
          <t>created_at</t>
        </is>
      </c>
      <c r="B523" s="41" t="inlineStr">
        <is>
          <t>timestamptz DEFAULT now()</t>
        </is>
      </c>
      <c r="C523" s="41" t="inlineStr"/>
      <c r="D523" s="41" t="n"/>
    </row>
    <row r="524">
      <c r="A524" s="41" t="n"/>
      <c r="B524" s="41" t="n"/>
      <c r="C524" s="41" t="n"/>
      <c r="D524" s="41" t="n"/>
    </row>
    <row r="525">
      <c r="A525" s="41" t="inlineStr">
        <is>
          <t>▼ user_availability_settings</t>
        </is>
      </c>
      <c r="B525" s="41" t="n"/>
      <c r="C525" s="41" t="n"/>
      <c r="D525" s="41" t="n"/>
    </row>
    <row r="526">
      <c r="A526" s="41" t="inlineStr">
        <is>
          <t>カラム</t>
        </is>
      </c>
      <c r="B526" s="41" t="inlineStr">
        <is>
          <t>型</t>
        </is>
      </c>
      <c r="C526" s="41" t="inlineStr">
        <is>
          <t>説明</t>
        </is>
      </c>
      <c r="D526" s="41" t="inlineStr">
        <is>
          <t>必須</t>
        </is>
      </c>
    </row>
    <row r="527">
      <c r="A527" s="41" t="inlineStr">
        <is>
          <t>user_id</t>
        </is>
      </c>
      <c r="B527" s="41" t="inlineStr">
        <is>
          <t>uuid PK REFERENCES users(id)</t>
        </is>
      </c>
      <c r="C527" s="41" t="inlineStr"/>
      <c r="D527" s="41" t="n"/>
    </row>
    <row r="528">
      <c r="A528" s="41" t="inlineStr">
        <is>
          <t>work_hours</t>
        </is>
      </c>
      <c r="B528" s="41" t="inlineStr">
        <is>
          <t>jsonb</t>
        </is>
      </c>
      <c r="C528" s="41" t="inlineStr">
        <is>
          <t>[{dow:1, start:'09:00', end:'18:00'}, ...]</t>
        </is>
      </c>
      <c r="D528" s="41" t="inlineStr">
        <is>
          <t>必須</t>
        </is>
      </c>
    </row>
    <row r="529">
      <c r="A529" s="41" t="inlineStr">
        <is>
          <t>lunch_hours</t>
        </is>
      </c>
      <c r="B529" s="41" t="inlineStr">
        <is>
          <t>jsonb</t>
        </is>
      </c>
      <c r="C529" s="41" t="inlineStr">
        <is>
          <t>[{dow:1-5, start:'12:00', end:'13:00'}]</t>
        </is>
      </c>
      <c r="D529" s="41" t="inlineStr">
        <is>
          <t>任意</t>
        </is>
      </c>
    </row>
    <row r="530">
      <c r="A530" s="41" t="inlineStr">
        <is>
          <t>days_off</t>
        </is>
      </c>
      <c r="B530" s="41" t="inlineStr">
        <is>
          <t>jsonb</t>
        </is>
      </c>
      <c r="C530" s="41" t="inlineStr">
        <is>
          <t>['2026-04-29', ...]</t>
        </is>
      </c>
      <c r="D530" s="41" t="inlineStr">
        <is>
          <t>任意</t>
        </is>
      </c>
    </row>
    <row r="531">
      <c r="A531" s="41" t="inlineStr">
        <is>
          <t>allow_after_hours</t>
        </is>
      </c>
      <c r="B531" s="41" t="inlineStr">
        <is>
          <t>boolean DEFAULT false</t>
        </is>
      </c>
      <c r="C531" s="41" t="inlineStr"/>
      <c r="D531" s="41" t="n"/>
    </row>
    <row r="532">
      <c r="A532" s="41" t="inlineStr">
        <is>
          <t>timezone</t>
        </is>
      </c>
      <c r="B532" s="41" t="inlineStr">
        <is>
          <t>text DEFAULT 'Asia/Tokyo'</t>
        </is>
      </c>
      <c r="C532" s="41" t="inlineStr"/>
      <c r="D532" s="41" t="n"/>
    </row>
    <row r="533">
      <c r="A533" s="41" t="n"/>
      <c r="B533" s="41" t="n"/>
      <c r="C533" s="41" t="n"/>
      <c r="D533" s="41" t="n"/>
    </row>
    <row r="534">
      <c r="A534" s="41" t="inlineStr">
        <is>
          <t>▼ meeting_rooms</t>
        </is>
      </c>
      <c r="B534" s="41" t="n"/>
      <c r="C534" s="41" t="n"/>
      <c r="D534" s="41" t="n"/>
    </row>
    <row r="535">
      <c r="A535" s="41" t="inlineStr">
        <is>
          <t>カラム</t>
        </is>
      </c>
      <c r="B535" s="41" t="inlineStr">
        <is>
          <t>型</t>
        </is>
      </c>
      <c r="C535" s="41" t="inlineStr">
        <is>
          <t>説明</t>
        </is>
      </c>
      <c r="D535" s="41" t="inlineStr">
        <is>
          <t>必須</t>
        </is>
      </c>
    </row>
    <row r="536">
      <c r="A536" s="41" t="inlineStr">
        <is>
          <t>id</t>
        </is>
      </c>
      <c r="B536" s="41" t="inlineStr">
        <is>
          <t>uuid PK</t>
        </is>
      </c>
      <c r="C536" s="41" t="inlineStr"/>
      <c r="D536" s="41" t="n"/>
    </row>
    <row r="537">
      <c r="A537" s="41" t="inlineStr">
        <is>
          <t>org_id</t>
        </is>
      </c>
      <c r="B537" s="41" t="inlineStr">
        <is>
          <t>uuid</t>
        </is>
      </c>
      <c r="C537" s="41" t="inlineStr"/>
      <c r="D537" s="41" t="n"/>
    </row>
    <row r="538">
      <c r="A538" s="41" t="inlineStr">
        <is>
          <t>name</t>
        </is>
      </c>
      <c r="B538" s="41" t="inlineStr">
        <is>
          <t>text</t>
        </is>
      </c>
      <c r="C538" s="41" t="inlineStr">
        <is>
          <t>「会議室A」</t>
        </is>
      </c>
      <c r="D538" s="41" t="inlineStr">
        <is>
          <t>必須</t>
        </is>
      </c>
    </row>
    <row r="539">
      <c r="A539" s="41" t="inlineStr">
        <is>
          <t>google_resource_email</t>
        </is>
      </c>
      <c r="B539" s="41" t="inlineStr">
        <is>
          <t>text</t>
        </is>
      </c>
      <c r="C539" s="41" t="inlineStr">
        <is>
          <t>Workspace resource</t>
        </is>
      </c>
      <c r="D539" s="41" t="inlineStr">
        <is>
          <t>任意</t>
        </is>
      </c>
    </row>
    <row r="540">
      <c r="A540" s="41" t="inlineStr">
        <is>
          <t>capacity</t>
        </is>
      </c>
      <c r="B540" s="41" t="inlineStr">
        <is>
          <t>int</t>
        </is>
      </c>
      <c r="C540" s="41" t="inlineStr"/>
      <c r="D540" s="41" t="n"/>
    </row>
    <row r="541">
      <c r="A541" s="41" t="inlineStr">
        <is>
          <t>floor</t>
        </is>
      </c>
      <c r="B541" s="41" t="inlineStr">
        <is>
          <t>text</t>
        </is>
      </c>
      <c r="C541" s="41" t="inlineStr"/>
      <c r="D541" s="41" t="n"/>
    </row>
    <row r="542">
      <c r="A542" s="41" t="n"/>
      <c r="B542" s="41" t="n"/>
      <c r="C542" s="41" t="n"/>
      <c r="D542" s="41" t="n"/>
    </row>
    <row r="543">
      <c r="A543" s="41" t="inlineStr">
        <is>
          <t>▼ room_reservations</t>
        </is>
      </c>
      <c r="B543" s="41" t="n"/>
      <c r="C543" s="41" t="n"/>
      <c r="D543" s="41" t="n"/>
    </row>
    <row r="544">
      <c r="A544" s="41" t="inlineStr">
        <is>
          <t>カラム</t>
        </is>
      </c>
      <c r="B544" s="41" t="inlineStr">
        <is>
          <t>型</t>
        </is>
      </c>
      <c r="C544" s="41" t="inlineStr">
        <is>
          <t>説明</t>
        </is>
      </c>
      <c r="D544" s="41" t="inlineStr">
        <is>
          <t>必須</t>
        </is>
      </c>
    </row>
    <row r="545">
      <c r="A545" s="41" t="inlineStr">
        <is>
          <t>id</t>
        </is>
      </c>
      <c r="B545" s="41" t="inlineStr">
        <is>
          <t>uuid PK</t>
        </is>
      </c>
      <c r="C545" s="41" t="inlineStr"/>
      <c r="D545" s="41" t="n"/>
    </row>
    <row r="546">
      <c r="A546" s="41" t="inlineStr">
        <is>
          <t>meeting_id</t>
        </is>
      </c>
      <c r="B546" s="41" t="inlineStr">
        <is>
          <t>uuid REFERENCES meetings(id) ON DELETE CASCADE</t>
        </is>
      </c>
      <c r="C546" s="41" t="inlineStr"/>
      <c r="D546" s="41" t="n"/>
    </row>
    <row r="547">
      <c r="A547" s="41" t="inlineStr">
        <is>
          <t>room_id</t>
        </is>
      </c>
      <c r="B547" s="41" t="inlineStr">
        <is>
          <t>uuid REFERENCES meeting_rooms(id)</t>
        </is>
      </c>
      <c r="C547" s="41" t="inlineStr"/>
      <c r="D547" s="41" t="n"/>
    </row>
    <row r="548">
      <c r="A548" s="41" t="inlineStr">
        <is>
          <t>start_at</t>
        </is>
      </c>
      <c r="B548" s="41" t="inlineStr">
        <is>
          <t>timestamptz</t>
        </is>
      </c>
      <c r="C548" s="41" t="inlineStr"/>
      <c r="D548" s="41" t="n"/>
    </row>
    <row r="549">
      <c r="A549" s="41" t="inlineStr">
        <is>
          <t>end_at</t>
        </is>
      </c>
      <c r="B549" s="41" t="inlineStr">
        <is>
          <t>timestamptz</t>
        </is>
      </c>
      <c r="C549" s="41" t="inlineStr"/>
      <c r="D549" s="41" t="n"/>
    </row>
    <row r="550">
      <c r="A550" s="41" t="inlineStr">
        <is>
          <t>status</t>
        </is>
      </c>
      <c r="B550" s="41" t="inlineStr">
        <is>
          <t>text</t>
        </is>
      </c>
      <c r="C550" s="41" t="inlineStr">
        <is>
          <t>booked|cancelled</t>
        </is>
      </c>
      <c r="D550" s="41" t="inlineStr">
        <is>
          <t>必須</t>
        </is>
      </c>
    </row>
    <row r="551">
      <c r="A551" s="41" t="n"/>
      <c r="B551" s="41" t="n"/>
      <c r="C551" s="41" t="n"/>
      <c r="D551" s="41" t="n"/>
    </row>
    <row r="552">
      <c r="A552" s="41" t="inlineStr">
        <is>
          <t>▼ calendar_holds</t>
        </is>
      </c>
      <c r="B552" s="41" t="n"/>
      <c r="C552" s="41" t="n"/>
      <c r="D552" s="41" t="n"/>
    </row>
    <row r="553">
      <c r="A553" s="41" t="inlineStr">
        <is>
          <t>カラム</t>
        </is>
      </c>
      <c r="B553" s="41" t="inlineStr">
        <is>
          <t>型</t>
        </is>
      </c>
      <c r="C553" s="41" t="inlineStr">
        <is>
          <t>説明</t>
        </is>
      </c>
      <c r="D553" s="41" t="inlineStr">
        <is>
          <t>必須</t>
        </is>
      </c>
    </row>
    <row r="554">
      <c r="A554" s="41" t="inlineStr">
        <is>
          <t>id</t>
        </is>
      </c>
      <c r="B554" s="41" t="inlineStr">
        <is>
          <t>uuid PK</t>
        </is>
      </c>
      <c r="C554" s="41" t="inlineStr"/>
      <c r="D554" s="41" t="n"/>
    </row>
    <row r="555">
      <c r="A555" s="41" t="inlineStr">
        <is>
          <t>user_id</t>
        </is>
      </c>
      <c r="B555" s="41" t="inlineStr">
        <is>
          <t>uuid REFERENCES users(id) ON DELETE CASCADE</t>
        </is>
      </c>
      <c r="C555" s="41" t="inlineStr"/>
      <c r="D555" s="41" t="n"/>
    </row>
    <row r="556">
      <c r="A556" s="41" t="inlineStr">
        <is>
          <t>scheduling_proposal_id</t>
        </is>
      </c>
      <c r="B556" s="41" t="inlineStr">
        <is>
          <t>uuid</t>
        </is>
      </c>
      <c r="C556" s="41" t="inlineStr"/>
      <c r="D556" s="41" t="n"/>
    </row>
    <row r="557">
      <c r="A557" s="41" t="inlineStr">
        <is>
          <t>slot_start</t>
        </is>
      </c>
      <c r="B557" s="41" t="inlineStr">
        <is>
          <t>timestamptz</t>
        </is>
      </c>
      <c r="C557" s="41" t="inlineStr"/>
      <c r="D557" s="41" t="n"/>
    </row>
    <row r="558">
      <c r="A558" s="41" t="inlineStr">
        <is>
          <t>slot_end</t>
        </is>
      </c>
      <c r="B558" s="41" t="inlineStr">
        <is>
          <t>timestamptz</t>
        </is>
      </c>
      <c r="C558" s="41" t="inlineStr"/>
      <c r="D558" s="41" t="n"/>
    </row>
    <row r="559">
      <c r="A559" s="41" t="inlineStr">
        <is>
          <t>google_event_id</t>
        </is>
      </c>
      <c r="B559" s="41" t="inlineStr">
        <is>
          <t>text</t>
        </is>
      </c>
      <c r="C559" s="41" t="inlineStr"/>
      <c r="D559" s="41" t="n"/>
    </row>
    <row r="560">
      <c r="A560" s="41" t="inlineStr">
        <is>
          <t>status</t>
        </is>
      </c>
      <c r="B560" s="41" t="inlineStr">
        <is>
          <t>text CHECK (status IN ('held','released','confirmed'))</t>
        </is>
      </c>
      <c r="C560" s="41" t="inlineStr"/>
      <c r="D560" s="41" t="n"/>
    </row>
    <row r="561">
      <c r="A561" s="41" t="inlineStr">
        <is>
          <t>expires_at</t>
        </is>
      </c>
      <c r="B561" s="41" t="inlineStr">
        <is>
          <t>timestamptz</t>
        </is>
      </c>
      <c r="C561" s="41" t="inlineStr"/>
      <c r="D561" s="41" t="n"/>
    </row>
    <row r="562">
      <c r="A562" s="41" t="inlineStr">
        <is>
          <t>created_at</t>
        </is>
      </c>
      <c r="B562" s="41" t="inlineStr">
        <is>
          <t>timestamptz DEFAULT now()</t>
        </is>
      </c>
      <c r="C562" s="41" t="inlineStr"/>
      <c r="D562" s="41" t="n"/>
    </row>
    <row r="563">
      <c r="A563" s="41" t="n"/>
      <c r="B563" s="41" t="n"/>
      <c r="C563" s="41" t="n"/>
      <c r="D563" s="41" t="n"/>
    </row>
    <row r="564">
      <c r="A564" s="41" t="inlineStr">
        <is>
          <t>▼ customer_timezones</t>
        </is>
      </c>
      <c r="B564" s="41" t="n"/>
      <c r="C564" s="41" t="n"/>
      <c r="D564" s="41" t="n"/>
    </row>
    <row r="565">
      <c r="A565" s="41" t="inlineStr">
        <is>
          <t>カラム</t>
        </is>
      </c>
      <c r="B565" s="41" t="inlineStr">
        <is>
          <t>型</t>
        </is>
      </c>
      <c r="C565" s="41" t="inlineStr">
        <is>
          <t>説明</t>
        </is>
      </c>
      <c r="D565" s="41" t="inlineStr">
        <is>
          <t>必須</t>
        </is>
      </c>
    </row>
    <row r="566">
      <c r="A566" s="41" t="inlineStr">
        <is>
          <t>contact_id</t>
        </is>
      </c>
      <c r="B566" s="41" t="inlineStr">
        <is>
          <t>uuid PK REFERENCES contacts(id) ON DELETE CASCADE</t>
        </is>
      </c>
      <c r="C566" s="41" t="inlineStr"/>
      <c r="D566" s="41" t="n"/>
    </row>
    <row r="567">
      <c r="A567" s="41" t="inlineStr">
        <is>
          <t>timezone</t>
        </is>
      </c>
      <c r="B567" s="41" t="inlineStr">
        <is>
          <t>text</t>
        </is>
      </c>
      <c r="C567" s="41" t="inlineStr">
        <is>
          <t>IANA</t>
        </is>
      </c>
      <c r="D567" s="41" t="inlineStr">
        <is>
          <t>必須</t>
        </is>
      </c>
    </row>
    <row r="568">
      <c r="A568" s="41" t="inlineStr">
        <is>
          <t>source</t>
        </is>
      </c>
      <c r="B568" s="41" t="inlineStr">
        <is>
          <t>text</t>
        </is>
      </c>
      <c r="C568" s="41" t="inlineStr">
        <is>
          <t>auto|manual</t>
        </is>
      </c>
      <c r="D568" s="41" t="inlineStr">
        <is>
          <t>必須</t>
        </is>
      </c>
    </row>
    <row r="569">
      <c r="A569" s="41" t="inlineStr">
        <is>
          <t>confidence</t>
        </is>
      </c>
      <c r="B569" s="41" t="inlineStr">
        <is>
          <t>numeric(3,2)</t>
        </is>
      </c>
      <c r="C569" s="41" t="inlineStr"/>
      <c r="D569" s="41" t="n"/>
    </row>
    <row r="570">
      <c r="A570" s="41" t="inlineStr">
        <is>
          <t>updated_at</t>
        </is>
      </c>
      <c r="B570" s="41" t="inlineStr">
        <is>
          <t>timestamptz DEFAULT now()</t>
        </is>
      </c>
      <c r="C570" s="41" t="inlineStr"/>
      <c r="D570" s="41" t="n"/>
    </row>
    <row r="571">
      <c r="A571" s="41" t="n"/>
      <c r="B571" s="41" t="n"/>
      <c r="C571" s="41" t="n"/>
      <c r="D571" s="41" t="n"/>
    </row>
    <row r="572">
      <c r="A572" s="41" t="inlineStr">
        <is>
          <t>▼ internal_attendee_invites</t>
        </is>
      </c>
      <c r="B572" s="41" t="n"/>
      <c r="C572" s="41" t="n"/>
      <c r="D572" s="41" t="n"/>
    </row>
    <row r="573">
      <c r="A573" s="41" t="inlineStr">
        <is>
          <t>カラム</t>
        </is>
      </c>
      <c r="B573" s="41" t="inlineStr">
        <is>
          <t>型</t>
        </is>
      </c>
      <c r="C573" s="41" t="inlineStr">
        <is>
          <t>説明</t>
        </is>
      </c>
      <c r="D573" s="41" t="inlineStr">
        <is>
          <t>必須</t>
        </is>
      </c>
    </row>
    <row r="574">
      <c r="A574" s="41" t="inlineStr">
        <is>
          <t>id</t>
        </is>
      </c>
      <c r="B574" s="41" t="inlineStr">
        <is>
          <t>uuid PK</t>
        </is>
      </c>
      <c r="C574" s="41" t="inlineStr"/>
      <c r="D574" s="41" t="n"/>
    </row>
    <row r="575">
      <c r="A575" s="41" t="inlineStr">
        <is>
          <t>meeting_id</t>
        </is>
      </c>
      <c r="B575" s="41" t="inlineStr">
        <is>
          <t>uuid REFERENCES meetings(id) ON DELETE CASCADE</t>
        </is>
      </c>
      <c r="C575" s="41" t="inlineStr"/>
      <c r="D575" s="41" t="n"/>
    </row>
    <row r="576">
      <c r="A576" s="41" t="inlineStr">
        <is>
          <t>invitee_id</t>
        </is>
      </c>
      <c r="B576" s="41" t="inlineStr">
        <is>
          <t>uuid REFERENCES users(id)</t>
        </is>
      </c>
      <c r="C576" s="41" t="inlineStr"/>
      <c r="D576" s="41" t="n"/>
    </row>
    <row r="577">
      <c r="A577" s="41" t="inlineStr">
        <is>
          <t>inviter_id</t>
        </is>
      </c>
      <c r="B577" s="41" t="inlineStr">
        <is>
          <t>uuid REFERENCES users(id)</t>
        </is>
      </c>
      <c r="C577" s="41" t="inlineStr"/>
      <c r="D577" s="41" t="n"/>
    </row>
    <row r="578">
      <c r="A578" s="41" t="inlineStr">
        <is>
          <t>status</t>
        </is>
      </c>
      <c r="B578" s="41" t="inlineStr">
        <is>
          <t>text CHECK (status IN ('invited','accepted','declined','timed_out'))</t>
        </is>
      </c>
      <c r="C578" s="41" t="inlineStr"/>
      <c r="D578" s="41" t="n"/>
    </row>
    <row r="579">
      <c r="A579" s="41" t="inlineStr">
        <is>
          <t>deadline_at</t>
        </is>
      </c>
      <c r="B579" s="41" t="inlineStr">
        <is>
          <t>timestamptz</t>
        </is>
      </c>
      <c r="C579" s="41" t="inlineStr">
        <is>
          <t>2時間後デフォルト</t>
        </is>
      </c>
      <c r="D579" s="41" t="inlineStr">
        <is>
          <t>必須</t>
        </is>
      </c>
    </row>
    <row r="580">
      <c r="A580" s="41" t="inlineStr">
        <is>
          <t>responded_at</t>
        </is>
      </c>
      <c r="B580" s="41" t="inlineStr">
        <is>
          <t>timestamptz</t>
        </is>
      </c>
      <c r="C580" s="41" t="inlineStr"/>
      <c r="D580" s="41" t="n"/>
    </row>
    <row r="581">
      <c r="A581" s="41" t="inlineStr">
        <is>
          <t>reason</t>
        </is>
      </c>
      <c r="B581" s="41" t="inlineStr">
        <is>
          <t>text</t>
        </is>
      </c>
      <c r="C581" s="41" t="inlineStr">
        <is>
          <t>decline時</t>
        </is>
      </c>
      <c r="D581" s="41" t="inlineStr">
        <is>
          <t>任意</t>
        </is>
      </c>
    </row>
    <row r="582">
      <c r="A582" s="41" t="n"/>
      <c r="B582" s="41" t="n"/>
      <c r="C582" s="41" t="n"/>
      <c r="D582" s="41" t="n"/>
    </row>
    <row r="583">
      <c r="A583" s="41" t="inlineStr">
        <is>
          <t>▼ delegate_grants</t>
        </is>
      </c>
      <c r="B583" s="41" t="n"/>
      <c r="C583" s="41" t="n"/>
      <c r="D583" s="41" t="n"/>
    </row>
    <row r="584">
      <c r="A584" s="41" t="inlineStr">
        <is>
          <t>カラム</t>
        </is>
      </c>
      <c r="B584" s="41" t="inlineStr">
        <is>
          <t>型</t>
        </is>
      </c>
      <c r="C584" s="41" t="inlineStr">
        <is>
          <t>説明</t>
        </is>
      </c>
      <c r="D584" s="41" t="inlineStr">
        <is>
          <t>必須</t>
        </is>
      </c>
    </row>
    <row r="585">
      <c r="A585" s="41" t="inlineStr">
        <is>
          <t>id</t>
        </is>
      </c>
      <c r="B585" s="41" t="inlineStr">
        <is>
          <t>uuid PK</t>
        </is>
      </c>
      <c r="C585" s="41" t="inlineStr"/>
      <c r="D585" s="41" t="n"/>
    </row>
    <row r="586">
      <c r="A586" s="41" t="inlineStr">
        <is>
          <t>grantor_id</t>
        </is>
      </c>
      <c r="B586" s="41" t="inlineStr">
        <is>
          <t>uuid REFERENCES users(id)</t>
        </is>
      </c>
      <c r="C586" s="41" t="inlineStr">
        <is>
          <t>本人</t>
        </is>
      </c>
      <c r="D586" s="41" t="inlineStr">
        <is>
          <t>必須</t>
        </is>
      </c>
    </row>
    <row r="587">
      <c r="A587" s="41" t="inlineStr">
        <is>
          <t>delegate_id</t>
        </is>
      </c>
      <c r="B587" s="41" t="inlineStr">
        <is>
          <t>uuid REFERENCES users(id)</t>
        </is>
      </c>
      <c r="C587" s="41" t="inlineStr">
        <is>
          <t>代理人</t>
        </is>
      </c>
      <c r="D587" s="41" t="inlineStr">
        <is>
          <t>必須</t>
        </is>
      </c>
    </row>
    <row r="588">
      <c r="A588" s="41" t="inlineStr">
        <is>
          <t>scope</t>
        </is>
      </c>
      <c r="B588" s="41" t="inlineStr">
        <is>
          <t>text[]</t>
        </is>
      </c>
      <c r="C588" s="41" t="inlineStr">
        <is>
          <t>['email_send']</t>
        </is>
      </c>
      <c r="D588" s="41" t="inlineStr">
        <is>
          <t>必須</t>
        </is>
      </c>
    </row>
    <row r="589">
      <c r="A589" s="41" t="inlineStr">
        <is>
          <t>valid_from</t>
        </is>
      </c>
      <c r="B589" s="41" t="inlineStr">
        <is>
          <t>timestamptz</t>
        </is>
      </c>
      <c r="C589" s="41" t="inlineStr"/>
      <c r="D589" s="41" t="n"/>
    </row>
    <row r="590">
      <c r="A590" s="41" t="inlineStr">
        <is>
          <t>valid_to</t>
        </is>
      </c>
      <c r="B590" s="41" t="inlineStr">
        <is>
          <t>timestamptz</t>
        </is>
      </c>
      <c r="C590" s="41" t="inlineStr"/>
      <c r="D590" s="41" t="n"/>
    </row>
    <row r="591">
      <c r="A591" s="41" t="inlineStr">
        <is>
          <t>audit</t>
        </is>
      </c>
      <c r="B591" s="41" t="inlineStr">
        <is>
          <t>boolean DEFAULT true</t>
        </is>
      </c>
      <c r="C591" s="41" t="inlineStr"/>
      <c r="D591" s="41" t="n"/>
    </row>
    <row r="592">
      <c r="A592" s="41" t="n"/>
      <c r="B592" s="41" t="n"/>
      <c r="C592" s="41" t="n"/>
      <c r="D592" s="41" t="n"/>
    </row>
    <row r="593">
      <c r="A593" s="41" t="inlineStr">
        <is>
          <t>▼ meeting_duplicates</t>
        </is>
      </c>
      <c r="B593" s="41" t="n"/>
      <c r="C593" s="41" t="n"/>
      <c r="D593" s="41" t="n"/>
    </row>
    <row r="594">
      <c r="A594" s="41" t="inlineStr">
        <is>
          <t>カラム</t>
        </is>
      </c>
      <c r="B594" s="41" t="inlineStr">
        <is>
          <t>型</t>
        </is>
      </c>
      <c r="C594" s="41" t="inlineStr">
        <is>
          <t>説明</t>
        </is>
      </c>
      <c r="D594" s="41" t="inlineStr">
        <is>
          <t>必須</t>
        </is>
      </c>
    </row>
    <row r="595">
      <c r="A595" s="41" t="inlineStr">
        <is>
          <t>id</t>
        </is>
      </c>
      <c r="B595" s="41" t="inlineStr">
        <is>
          <t>uuid PK</t>
        </is>
      </c>
      <c r="C595" s="41" t="inlineStr"/>
      <c r="D595" s="41" t="n"/>
    </row>
    <row r="596">
      <c r="A596" s="41" t="inlineStr">
        <is>
          <t>customer_company_id</t>
        </is>
      </c>
      <c r="B596" s="41" t="inlineStr">
        <is>
          <t>uuid</t>
        </is>
      </c>
      <c r="C596" s="41" t="inlineStr"/>
      <c r="D596" s="41" t="n"/>
    </row>
    <row r="597">
      <c r="A597" s="41" t="inlineStr">
        <is>
          <t>existing_meeting_id</t>
        </is>
      </c>
      <c r="B597" s="41" t="inlineStr">
        <is>
          <t>uuid</t>
        </is>
      </c>
      <c r="C597" s="41" t="inlineStr"/>
      <c r="D597" s="41" t="n"/>
    </row>
    <row r="598">
      <c r="A598" s="41" t="inlineStr">
        <is>
          <t>new_attempt_user_id</t>
        </is>
      </c>
      <c r="B598" s="41" t="inlineStr">
        <is>
          <t>uuid</t>
        </is>
      </c>
      <c r="C598" s="41" t="inlineStr"/>
      <c r="D598" s="41" t="n"/>
    </row>
    <row r="599">
      <c r="A599" s="41" t="inlineStr">
        <is>
          <t>detected_at</t>
        </is>
      </c>
      <c r="B599" s="41" t="inlineStr">
        <is>
          <t>timestamptz DEFAULT now()</t>
        </is>
      </c>
      <c r="C599" s="41" t="inlineStr"/>
      <c r="D599" s="41" t="n"/>
    </row>
    <row r="600">
      <c r="A600" s="41" t="inlineStr">
        <is>
          <t>resolution</t>
        </is>
      </c>
      <c r="B600" s="41" t="inlineStr">
        <is>
          <t>text</t>
        </is>
      </c>
      <c r="C600" s="41" t="inlineStr">
        <is>
          <t>ignored|merged|cancelled</t>
        </is>
      </c>
      <c r="D600" s="41" t="inlineStr"/>
    </row>
    <row r="601">
      <c r="A601" s="41" t="n"/>
      <c r="B601" s="41" t="n"/>
      <c r="C601" s="41" t="n"/>
      <c r="D601" s="41" t="n"/>
    </row>
    <row r="602">
      <c r="A602" s="41" t="inlineStr">
        <is>
          <t>▼ email_intents</t>
        </is>
      </c>
      <c r="B602" s="41" t="n"/>
      <c r="C602" s="41" t="n"/>
      <c r="D602" s="41" t="n"/>
    </row>
    <row r="603">
      <c r="A603" s="41" t="inlineStr">
        <is>
          <t>カラム</t>
        </is>
      </c>
      <c r="B603" s="41" t="inlineStr">
        <is>
          <t>型</t>
        </is>
      </c>
      <c r="C603" s="41" t="inlineStr">
        <is>
          <t>説明</t>
        </is>
      </c>
      <c r="D603" s="41" t="inlineStr">
        <is>
          <t>必須</t>
        </is>
      </c>
    </row>
    <row r="604">
      <c r="A604" s="41" t="inlineStr">
        <is>
          <t>id</t>
        </is>
      </c>
      <c r="B604" s="41" t="inlineStr">
        <is>
          <t>uuid PK</t>
        </is>
      </c>
      <c r="C604" s="41" t="inlineStr"/>
      <c r="D604" s="41" t="n"/>
    </row>
    <row r="605">
      <c r="A605" s="41" t="inlineStr">
        <is>
          <t>email_message_id</t>
        </is>
      </c>
      <c r="B605" s="41" t="inlineStr">
        <is>
          <t>uuid REFERENCES email_messages(id) ON DELETE CASCADE</t>
        </is>
      </c>
      <c r="C605" s="41" t="inlineStr"/>
      <c r="D605" s="41" t="n"/>
    </row>
    <row r="606">
      <c r="A606" s="41" t="inlineStr">
        <is>
          <t>intent</t>
        </is>
      </c>
      <c r="B606" s="41" t="inlineStr">
        <is>
          <t>text</t>
        </is>
      </c>
      <c r="C606" s="41" t="inlineStr">
        <is>
          <t>accept|decline|all_no_propose|phone|onsite|reschedule|cc_add|other</t>
        </is>
      </c>
      <c r="D606" s="41" t="inlineStr">
        <is>
          <t>必須</t>
        </is>
      </c>
    </row>
    <row r="607">
      <c r="A607" s="41" t="inlineStr">
        <is>
          <t>confidence</t>
        </is>
      </c>
      <c r="B607" s="41" t="inlineStr">
        <is>
          <t>numeric(3,2)</t>
        </is>
      </c>
      <c r="C607" s="41" t="inlineStr"/>
      <c r="D607" s="41" t="n"/>
    </row>
    <row r="608">
      <c r="A608" s="41" t="inlineStr">
        <is>
          <t>raw_classifier_output</t>
        </is>
      </c>
      <c r="B608" s="41" t="inlineStr">
        <is>
          <t>jsonb</t>
        </is>
      </c>
      <c r="C608" s="41" t="inlineStr"/>
      <c r="D608" s="41" t="n"/>
    </row>
    <row r="609">
      <c r="A609" s="41" t="n"/>
      <c r="B609" s="41" t="n"/>
      <c r="C609" s="41" t="n"/>
      <c r="D609" s="41" t="n"/>
    </row>
    <row r="610">
      <c r="A610" s="41" t="inlineStr">
        <is>
          <t>▼ email_attachments</t>
        </is>
      </c>
      <c r="B610" s="41" t="n"/>
      <c r="C610" s="41" t="n"/>
      <c r="D610" s="41" t="n"/>
    </row>
    <row r="611">
      <c r="A611" s="41" t="inlineStr">
        <is>
          <t>カラム</t>
        </is>
      </c>
      <c r="B611" s="41" t="inlineStr">
        <is>
          <t>型</t>
        </is>
      </c>
      <c r="C611" s="41" t="inlineStr">
        <is>
          <t>説明</t>
        </is>
      </c>
      <c r="D611" s="41" t="inlineStr">
        <is>
          <t>必須</t>
        </is>
      </c>
    </row>
    <row r="612">
      <c r="A612" s="41" t="inlineStr">
        <is>
          <t>id</t>
        </is>
      </c>
      <c r="B612" s="41" t="inlineStr">
        <is>
          <t>uuid PK</t>
        </is>
      </c>
      <c r="C612" s="41" t="inlineStr"/>
      <c r="D612" s="41" t="n"/>
    </row>
    <row r="613">
      <c r="A613" s="41" t="inlineStr">
        <is>
          <t>email_message_id</t>
        </is>
      </c>
      <c r="B613" s="41" t="inlineStr">
        <is>
          <t>uuid REFERENCES email_messages(id) ON DELETE CASCADE</t>
        </is>
      </c>
      <c r="C613" s="41" t="inlineStr"/>
      <c r="D613" s="41" t="n"/>
    </row>
    <row r="614">
      <c r="A614" s="41" t="inlineStr">
        <is>
          <t>filename</t>
        </is>
      </c>
      <c r="B614" s="41" t="inlineStr">
        <is>
          <t>text</t>
        </is>
      </c>
      <c r="C614" s="41" t="inlineStr"/>
      <c r="D614" s="41" t="n"/>
    </row>
    <row r="615">
      <c r="A615" s="41" t="inlineStr">
        <is>
          <t>content_type</t>
        </is>
      </c>
      <c r="B615" s="41" t="inlineStr">
        <is>
          <t>text</t>
        </is>
      </c>
      <c r="C615" s="41" t="inlineStr"/>
      <c r="D615" s="41" t="n"/>
    </row>
    <row r="616">
      <c r="A616" s="41" t="inlineStr">
        <is>
          <t>storage_url</t>
        </is>
      </c>
      <c r="B616" s="41" t="inlineStr">
        <is>
          <t>text</t>
        </is>
      </c>
      <c r="C616" s="41" t="inlineStr"/>
      <c r="D616" s="41" t="n"/>
    </row>
    <row r="617">
      <c r="A617" s="41" t="inlineStr">
        <is>
          <t>category</t>
        </is>
      </c>
      <c r="B617" s="41" t="inlineStr">
        <is>
          <t>text</t>
        </is>
      </c>
      <c r="C617" s="41" t="inlineStr">
        <is>
          <t>NDA|requirements|RFP|quote|other</t>
        </is>
      </c>
      <c r="D617" s="41" t="inlineStr">
        <is>
          <t>必須</t>
        </is>
      </c>
    </row>
    <row r="618">
      <c r="A618" s="41" t="inlineStr">
        <is>
          <t>meeting_id</t>
        </is>
      </c>
      <c r="B618" s="41" t="inlineStr">
        <is>
          <t>uuid</t>
        </is>
      </c>
      <c r="C618" s="41" t="inlineStr">
        <is>
          <t>auto-link</t>
        </is>
      </c>
      <c r="D618" s="41" t="inlineStr">
        <is>
          <t>任意</t>
        </is>
      </c>
    </row>
    <row r="619">
      <c r="A619" s="41" t="n"/>
      <c r="B619" s="41" t="n"/>
      <c r="C619" s="41" t="n"/>
      <c r="D619" s="41" t="n"/>
    </row>
    <row r="620">
      <c r="A620" s="41" t="inlineStr">
        <is>
          <t>▼ meeting_briefs</t>
        </is>
      </c>
      <c r="B620" s="41" t="n"/>
      <c r="C620" s="41" t="n"/>
      <c r="D620" s="41" t="n"/>
    </row>
    <row r="621">
      <c r="A621" s="41" t="inlineStr">
        <is>
          <t>カラム</t>
        </is>
      </c>
      <c r="B621" s="41" t="inlineStr">
        <is>
          <t>型</t>
        </is>
      </c>
      <c r="C621" s="41" t="inlineStr">
        <is>
          <t>説明</t>
        </is>
      </c>
      <c r="D621" s="41" t="inlineStr">
        <is>
          <t>必須</t>
        </is>
      </c>
    </row>
    <row r="622">
      <c r="A622" s="41" t="inlineStr">
        <is>
          <t>id</t>
        </is>
      </c>
      <c r="B622" s="41" t="inlineStr">
        <is>
          <t>uuid PK</t>
        </is>
      </c>
      <c r="C622" s="41" t="inlineStr"/>
      <c r="D622" s="41" t="n"/>
    </row>
    <row r="623">
      <c r="A623" s="41" t="inlineStr">
        <is>
          <t>meeting_id</t>
        </is>
      </c>
      <c r="B623" s="41" t="inlineStr">
        <is>
          <t>uuid REFERENCES meetings(id) ON DELETE CASCADE UNIQUE</t>
        </is>
      </c>
      <c r="C623" s="41" t="inlineStr"/>
      <c r="D623" s="41" t="n"/>
    </row>
    <row r="624">
      <c r="A624" s="41" t="inlineStr">
        <is>
          <t>prior_summary</t>
        </is>
      </c>
      <c r="B624" s="41" t="inlineStr">
        <is>
          <t>text</t>
        </is>
      </c>
      <c r="C624" s="41" t="inlineStr">
        <is>
          <t>前回要約</t>
        </is>
      </c>
      <c r="D624" s="41" t="inlineStr">
        <is>
          <t>任意</t>
        </is>
      </c>
    </row>
    <row r="625">
      <c r="A625" s="41" t="inlineStr">
        <is>
          <t>needs</t>
        </is>
      </c>
      <c r="B625" s="41" t="inlineStr">
        <is>
          <t>text</t>
        </is>
      </c>
      <c r="C625" s="41" t="inlineStr"/>
      <c r="D625" s="41" t="n"/>
    </row>
    <row r="626">
      <c r="A626" s="41" t="inlineStr">
        <is>
          <t>recommended_assets</t>
        </is>
      </c>
      <c r="B626" s="41" t="inlineStr">
        <is>
          <t>jsonb</t>
        </is>
      </c>
      <c r="C626" s="41" t="inlineStr"/>
      <c r="D626" s="41" t="n"/>
    </row>
    <row r="627">
      <c r="A627" s="41" t="inlineStr">
        <is>
          <t>generated_at</t>
        </is>
      </c>
      <c r="B627" s="41" t="inlineStr">
        <is>
          <t>timestamptz DEFAULT now()</t>
        </is>
      </c>
      <c r="C627" s="41" t="inlineStr"/>
      <c r="D627" s="41" t="n"/>
    </row>
    <row r="628">
      <c r="A628" s="41" t="n"/>
      <c r="B628" s="41" t="n"/>
      <c r="C628" s="41" t="n"/>
      <c r="D628" s="41" t="n"/>
    </row>
    <row r="629">
      <c r="A629" s="41" t="inlineStr">
        <is>
          <t>▼ recording_stages</t>
        </is>
      </c>
      <c r="B629" s="41" t="n"/>
      <c r="C629" s="41" t="n"/>
      <c r="D629" s="41" t="n"/>
    </row>
    <row r="630">
      <c r="A630" s="41" t="inlineStr">
        <is>
          <t>カラム</t>
        </is>
      </c>
      <c r="B630" s="41" t="inlineStr">
        <is>
          <t>型</t>
        </is>
      </c>
      <c r="C630" s="41" t="inlineStr">
        <is>
          <t>説明</t>
        </is>
      </c>
      <c r="D630" s="41" t="inlineStr">
        <is>
          <t>必須</t>
        </is>
      </c>
    </row>
    <row r="631">
      <c r="A631" s="41" t="inlineStr">
        <is>
          <t>recording_id</t>
        </is>
      </c>
      <c r="B631" s="41" t="inlineStr">
        <is>
          <t>uuid PK REFERENCES recordings(id) ON DELETE CASCADE</t>
        </is>
      </c>
      <c r="C631" s="41" t="inlineStr"/>
      <c r="D631" s="41" t="n"/>
    </row>
    <row r="632">
      <c r="A632" s="41" t="inlineStr">
        <is>
          <t>stage1_transcript_at</t>
        </is>
      </c>
      <c r="B632" s="41" t="inlineStr">
        <is>
          <t>timestamptz</t>
        </is>
      </c>
      <c r="C632" s="41" t="inlineStr"/>
      <c r="D632" s="41" t="n"/>
    </row>
    <row r="633">
      <c r="A633" s="41" t="inlineStr">
        <is>
          <t>stage2_preview_at</t>
        </is>
      </c>
      <c r="B633" s="41" t="inlineStr">
        <is>
          <t>timestamptz</t>
        </is>
      </c>
      <c r="C633" s="41" t="inlineStr"/>
      <c r="D633" s="41" t="n"/>
    </row>
    <row r="634">
      <c r="A634" s="41" t="inlineStr">
        <is>
          <t>stage3_full_at</t>
        </is>
      </c>
      <c r="B634" s="41" t="inlineStr">
        <is>
          <t>timestamptz</t>
        </is>
      </c>
      <c r="C634" s="41" t="inlineStr"/>
      <c r="D634" s="41" t="n"/>
    </row>
    <row r="635">
      <c r="A635" s="41" t="inlineStr">
        <is>
          <t>current_stage</t>
        </is>
      </c>
      <c r="B635" s="41" t="inlineStr">
        <is>
          <t>text CHECK (current_stage IN ('queued','transcript','preview','full','failed'))</t>
        </is>
      </c>
      <c r="C635" s="41" t="inlineStr"/>
      <c r="D635" s="41" t="n"/>
    </row>
    <row r="636">
      <c r="A636" s="41" t="n"/>
      <c r="B636" s="41" t="n"/>
      <c r="C636" s="41" t="n"/>
      <c r="D636" s="41" t="n"/>
    </row>
    <row r="637">
      <c r="A637" s="41" t="inlineStr">
        <is>
          <t>▼ recording_segments</t>
        </is>
      </c>
      <c r="B637" s="41" t="n"/>
      <c r="C637" s="41" t="n"/>
      <c r="D637" s="41" t="n"/>
    </row>
    <row r="638">
      <c r="A638" s="41" t="inlineStr">
        <is>
          <t>カラム</t>
        </is>
      </c>
      <c r="B638" s="41" t="inlineStr">
        <is>
          <t>型</t>
        </is>
      </c>
      <c r="C638" s="41" t="inlineStr">
        <is>
          <t>説明</t>
        </is>
      </c>
      <c r="D638" s="41" t="inlineStr">
        <is>
          <t>必須</t>
        </is>
      </c>
    </row>
    <row r="639">
      <c r="A639" s="41" t="inlineStr">
        <is>
          <t>id</t>
        </is>
      </c>
      <c r="B639" s="41" t="inlineStr">
        <is>
          <t>uuid PK</t>
        </is>
      </c>
      <c r="C639" s="41" t="inlineStr"/>
      <c r="D639" s="41" t="n"/>
    </row>
    <row r="640">
      <c r="A640" s="41" t="inlineStr">
        <is>
          <t>recording_id</t>
        </is>
      </c>
      <c r="B640" s="41" t="inlineStr">
        <is>
          <t>uuid REFERENCES recordings(id) ON DELETE CASCADE</t>
        </is>
      </c>
      <c r="C640" s="41" t="inlineStr"/>
      <c r="D640" s="41" t="n"/>
    </row>
    <row r="641">
      <c r="A641" s="41" t="inlineStr">
        <is>
          <t>start_sec</t>
        </is>
      </c>
      <c r="B641" s="41" t="inlineStr">
        <is>
          <t>numeric</t>
        </is>
      </c>
      <c r="C641" s="41" t="inlineStr"/>
      <c r="D641" s="41" t="n"/>
    </row>
    <row r="642">
      <c r="A642" s="41" t="inlineStr">
        <is>
          <t>end_sec</t>
        </is>
      </c>
      <c r="B642" s="41" t="inlineStr">
        <is>
          <t>numeric</t>
        </is>
      </c>
      <c r="C642" s="41" t="inlineStr"/>
      <c r="D642" s="41" t="n"/>
    </row>
    <row r="643">
      <c r="A643" s="41" t="inlineStr">
        <is>
          <t>speaker_id</t>
        </is>
      </c>
      <c r="B643" s="41" t="inlineStr">
        <is>
          <t>text</t>
        </is>
      </c>
      <c r="C643" s="41" t="inlineStr">
        <is>
          <t>話者ID(diarization)</t>
        </is>
      </c>
      <c r="D643" s="41" t="inlineStr">
        <is>
          <t>必須</t>
        </is>
      </c>
    </row>
    <row r="644">
      <c r="A644" s="41" t="inlineStr">
        <is>
          <t>text</t>
        </is>
      </c>
      <c r="B644" s="41" t="inlineStr">
        <is>
          <t>text</t>
        </is>
      </c>
      <c r="C644" s="41" t="inlineStr"/>
      <c r="D644" s="41" t="n"/>
    </row>
    <row r="645">
      <c r="A645" s="41" t="inlineStr">
        <is>
          <t>sensitivity</t>
        </is>
      </c>
      <c r="B645" s="41" t="inlineStr">
        <is>
          <t>text CHECK (sensitivity IN ('public','internal','sensitive'))</t>
        </is>
      </c>
      <c r="C645" s="41" t="inlineStr">
        <is>
          <t>DEFAULT internal</t>
        </is>
      </c>
      <c r="D645" s="41" t="inlineStr">
        <is>
          <t>必須</t>
        </is>
      </c>
    </row>
    <row r="646">
      <c r="A646" s="41" t="inlineStr">
        <is>
          <t>pii_detected</t>
        </is>
      </c>
      <c r="B646" s="41" t="inlineStr">
        <is>
          <t>boolean DEFAULT false</t>
        </is>
      </c>
      <c r="C646" s="41" t="inlineStr"/>
      <c r="D646" s="41" t="n"/>
    </row>
    <row r="647">
      <c r="A647" s="41" t="n"/>
      <c r="B647" s="41" t="n"/>
      <c r="C647" s="41" t="n"/>
      <c r="D647" s="41" t="n"/>
    </row>
    <row r="648">
      <c r="A648" s="41" t="inlineStr">
        <is>
          <t>▼ pii_redactions</t>
        </is>
      </c>
      <c r="B648" s="41" t="n"/>
      <c r="C648" s="41" t="n"/>
      <c r="D648" s="41" t="n"/>
    </row>
    <row r="649">
      <c r="A649" s="41" t="inlineStr">
        <is>
          <t>カラム</t>
        </is>
      </c>
      <c r="B649" s="41" t="inlineStr">
        <is>
          <t>型</t>
        </is>
      </c>
      <c r="C649" s="41" t="inlineStr">
        <is>
          <t>説明</t>
        </is>
      </c>
      <c r="D649" s="41" t="inlineStr">
        <is>
          <t>必須</t>
        </is>
      </c>
    </row>
    <row r="650">
      <c r="A650" s="41" t="inlineStr">
        <is>
          <t>id</t>
        </is>
      </c>
      <c r="B650" s="41" t="inlineStr">
        <is>
          <t>uuid PK</t>
        </is>
      </c>
      <c r="C650" s="41" t="inlineStr"/>
      <c r="D650" s="41" t="n"/>
    </row>
    <row r="651">
      <c r="A651" s="41" t="inlineStr">
        <is>
          <t>recording_segment_id</t>
        </is>
      </c>
      <c r="B651" s="41" t="inlineStr">
        <is>
          <t>uuid REFERENCES recording_segments(id) ON DELETE CASCADE</t>
        </is>
      </c>
      <c r="C651" s="41" t="inlineStr"/>
      <c r="D651" s="41" t="n"/>
    </row>
    <row r="652">
      <c r="A652" s="41" t="inlineStr">
        <is>
          <t>pii_type</t>
        </is>
      </c>
      <c r="B652" s="41" t="inlineStr">
        <is>
          <t>text</t>
        </is>
      </c>
      <c r="C652" s="41" t="inlineStr">
        <is>
          <t>address|phone|amount|email</t>
        </is>
      </c>
      <c r="D652" s="41" t="inlineStr">
        <is>
          <t>必須</t>
        </is>
      </c>
    </row>
    <row r="653">
      <c r="A653" s="41" t="inlineStr">
        <is>
          <t>start_offset</t>
        </is>
      </c>
      <c r="B653" s="41" t="inlineStr">
        <is>
          <t>int</t>
        </is>
      </c>
      <c r="C653" s="41" t="inlineStr"/>
      <c r="D653" s="41" t="n"/>
    </row>
    <row r="654">
      <c r="A654" s="41" t="inlineStr">
        <is>
          <t>end_offset</t>
        </is>
      </c>
      <c r="B654" s="41" t="inlineStr">
        <is>
          <t>int</t>
        </is>
      </c>
      <c r="C654" s="41" t="inlineStr"/>
      <c r="D654" s="41" t="n"/>
    </row>
    <row r="655">
      <c r="A655" s="41" t="n"/>
      <c r="B655" s="41" t="n"/>
      <c r="C655" s="41" t="n"/>
      <c r="D655" s="41" t="n"/>
    </row>
    <row r="656">
      <c r="A656" s="41" t="inlineStr">
        <is>
          <t>▼ external_summaries</t>
        </is>
      </c>
      <c r="B656" s="41" t="n"/>
      <c r="C656" s="41" t="n"/>
      <c r="D656" s="41" t="n"/>
    </row>
    <row r="657">
      <c r="A657" s="41" t="inlineStr">
        <is>
          <t>カラム</t>
        </is>
      </c>
      <c r="B657" s="41" t="inlineStr">
        <is>
          <t>型</t>
        </is>
      </c>
      <c r="C657" s="41" t="inlineStr">
        <is>
          <t>説明</t>
        </is>
      </c>
      <c r="D657" s="41" t="inlineStr">
        <is>
          <t>必須</t>
        </is>
      </c>
    </row>
    <row r="658">
      <c r="A658" s="41" t="inlineStr">
        <is>
          <t>id</t>
        </is>
      </c>
      <c r="B658" s="41" t="inlineStr">
        <is>
          <t>uuid PK</t>
        </is>
      </c>
      <c r="C658" s="41" t="inlineStr"/>
      <c r="D658" s="41" t="n"/>
    </row>
    <row r="659">
      <c r="A659" s="41" t="inlineStr">
        <is>
          <t>meeting_id</t>
        </is>
      </c>
      <c r="B659" s="41" t="inlineStr">
        <is>
          <t>uuid REFERENCES meetings(id) ON DELETE CASCADE</t>
        </is>
      </c>
      <c r="C659" s="41" t="inlineStr"/>
      <c r="D659" s="41" t="n"/>
    </row>
    <row r="660">
      <c r="A660" s="41" t="inlineStr">
        <is>
          <t>content_md</t>
        </is>
      </c>
      <c r="B660" s="41" t="inlineStr">
        <is>
          <t>text</t>
        </is>
      </c>
      <c r="C660" s="41" t="inlineStr"/>
      <c r="D660" s="41" t="n"/>
    </row>
    <row r="661">
      <c r="A661" s="41" t="inlineStr">
        <is>
          <t>pdf_storage_url</t>
        </is>
      </c>
      <c r="B661" s="41" t="inlineStr">
        <is>
          <t>text</t>
        </is>
      </c>
      <c r="C661" s="41" t="inlineStr"/>
      <c r="D661" s="41" t="n"/>
    </row>
    <row r="662">
      <c r="A662" s="41" t="inlineStr">
        <is>
          <t>share_link_id</t>
        </is>
      </c>
      <c r="B662" s="41" t="inlineStr">
        <is>
          <t>uuid</t>
        </is>
      </c>
      <c r="C662" s="41" t="inlineStr"/>
      <c r="D662" s="41" t="n"/>
    </row>
    <row r="663">
      <c r="A663" s="41" t="inlineStr">
        <is>
          <t>generated_at</t>
        </is>
      </c>
      <c r="B663" s="41" t="inlineStr">
        <is>
          <t>timestamptz DEFAULT now()</t>
        </is>
      </c>
      <c r="C663" s="41" t="inlineStr"/>
      <c r="D663" s="41" t="n"/>
    </row>
    <row r="664">
      <c r="A664" s="41" t="n"/>
      <c r="B664" s="41" t="n"/>
      <c r="C664" s="41" t="n"/>
      <c r="D664" s="41" t="n"/>
    </row>
    <row r="665">
      <c r="A665" s="41" t="inlineStr">
        <is>
          <t>▼ complaints</t>
        </is>
      </c>
      <c r="B665" s="41" t="n"/>
      <c r="C665" s="41" t="n"/>
      <c r="D665" s="41" t="n"/>
    </row>
    <row r="666">
      <c r="A666" s="41" t="inlineStr">
        <is>
          <t>カラム</t>
        </is>
      </c>
      <c r="B666" s="41" t="inlineStr">
        <is>
          <t>型</t>
        </is>
      </c>
      <c r="C666" s="41" t="inlineStr">
        <is>
          <t>説明</t>
        </is>
      </c>
      <c r="D666" s="41" t="inlineStr">
        <is>
          <t>必須</t>
        </is>
      </c>
    </row>
    <row r="667">
      <c r="A667" s="41" t="inlineStr">
        <is>
          <t>id</t>
        </is>
      </c>
      <c r="B667" s="41" t="inlineStr">
        <is>
          <t>uuid PK</t>
        </is>
      </c>
      <c r="C667" s="41" t="inlineStr"/>
      <c r="D667" s="41" t="n"/>
    </row>
    <row r="668">
      <c r="A668" s="41" t="inlineStr">
        <is>
          <t>customer_company_id</t>
        </is>
      </c>
      <c r="B668" s="41" t="inlineStr">
        <is>
          <t>uuid</t>
        </is>
      </c>
      <c r="C668" s="41" t="inlineStr"/>
      <c r="D668" s="41" t="n"/>
    </row>
    <row r="669">
      <c r="A669" s="41" t="inlineStr">
        <is>
          <t>recording_segment_id</t>
        </is>
      </c>
      <c r="B669" s="41" t="inlineStr">
        <is>
          <t>uuid</t>
        </is>
      </c>
      <c r="C669" s="41" t="inlineStr"/>
      <c r="D669" s="41" t="n"/>
    </row>
    <row r="670">
      <c r="A670" s="41" t="inlineStr">
        <is>
          <t>summary</t>
        </is>
      </c>
      <c r="B670" s="41" t="inlineStr">
        <is>
          <t>text</t>
        </is>
      </c>
      <c r="C670" s="41" t="inlineStr"/>
      <c r="D670" s="41" t="n"/>
    </row>
    <row r="671">
      <c r="A671" s="41" t="inlineStr">
        <is>
          <t>severity</t>
        </is>
      </c>
      <c r="B671" s="41" t="inlineStr">
        <is>
          <t>text</t>
        </is>
      </c>
      <c r="C671" s="41" t="inlineStr">
        <is>
          <t>low|med|high</t>
        </is>
      </c>
      <c r="D671" s="41" t="inlineStr">
        <is>
          <t>必須</t>
        </is>
      </c>
    </row>
    <row r="672">
      <c r="A672" s="41" t="inlineStr">
        <is>
          <t>status</t>
        </is>
      </c>
      <c r="B672" s="41" t="inlineStr">
        <is>
          <t>text</t>
        </is>
      </c>
      <c r="C672" s="41" t="inlineStr">
        <is>
          <t>open|investigating|resolved</t>
        </is>
      </c>
      <c r="D672" s="41" t="inlineStr">
        <is>
          <t>必須</t>
        </is>
      </c>
    </row>
    <row r="673">
      <c r="A673" s="41" t="inlineStr">
        <is>
          <t>created_by</t>
        </is>
      </c>
      <c r="B673" s="41" t="inlineStr">
        <is>
          <t>uuid REFERENCES users(id)</t>
        </is>
      </c>
      <c r="C673" s="41" t="inlineStr"/>
      <c r="D673" s="41" t="n"/>
    </row>
    <row r="674">
      <c r="A674" s="41" t="inlineStr">
        <is>
          <t>created_at</t>
        </is>
      </c>
      <c r="B674" s="41" t="inlineStr">
        <is>
          <t>timestamptz DEFAULT now()</t>
        </is>
      </c>
      <c r="C674" s="41" t="inlineStr"/>
      <c r="D674" s="41" t="n"/>
    </row>
    <row r="675">
      <c r="A675" s="41" t="n"/>
      <c r="B675" s="41" t="n"/>
      <c r="C675" s="41" t="n"/>
      <c r="D675" s="41" t="n"/>
    </row>
    <row r="676">
      <c r="A676" s="41" t="inlineStr">
        <is>
          <t>▼ complaint_meeting_links</t>
        </is>
      </c>
      <c r="B676" s="41" t="n"/>
      <c r="C676" s="41" t="n"/>
      <c r="D676" s="41" t="n"/>
    </row>
    <row r="677">
      <c r="A677" s="41" t="inlineStr">
        <is>
          <t>カラム</t>
        </is>
      </c>
      <c r="B677" s="41" t="inlineStr">
        <is>
          <t>型</t>
        </is>
      </c>
      <c r="C677" s="41" t="inlineStr">
        <is>
          <t>説明</t>
        </is>
      </c>
      <c r="D677" s="41" t="inlineStr">
        <is>
          <t>必須</t>
        </is>
      </c>
    </row>
    <row r="678">
      <c r="A678" s="41" t="inlineStr">
        <is>
          <t>complaint_id</t>
        </is>
      </c>
      <c r="B678" s="41" t="inlineStr">
        <is>
          <t>uuid REFERENCES complaints(id) ON DELETE CASCADE</t>
        </is>
      </c>
      <c r="C678" s="41" t="inlineStr"/>
      <c r="D678" s="41" t="n"/>
    </row>
    <row r="679">
      <c r="A679" s="41" t="inlineStr">
        <is>
          <t>meeting_id</t>
        </is>
      </c>
      <c r="B679" s="41" t="inlineStr">
        <is>
          <t>uuid REFERENCES meetings(id) ON DELETE CASCADE</t>
        </is>
      </c>
      <c r="C679" s="41" t="inlineStr"/>
      <c r="D679" s="41" t="n"/>
    </row>
    <row r="680">
      <c r="A680" s="41" t="inlineStr">
        <is>
          <t>PRIMARY KEY</t>
        </is>
      </c>
      <c r="B680" s="41" t="inlineStr">
        <is>
          <t>(complaint_id, meeting_id)</t>
        </is>
      </c>
      <c r="C680" s="41" t="inlineStr"/>
      <c r="D680" s="41" t="n"/>
    </row>
    <row r="681">
      <c r="A681" s="41" t="n"/>
      <c r="B681" s="41" t="n"/>
      <c r="C681" s="41" t="n"/>
      <c r="D681" s="41" t="n"/>
    </row>
    <row r="682">
      <c r="A682" s="41" t="inlineStr">
        <is>
          <t>▼ alignment_reports</t>
        </is>
      </c>
      <c r="B682" s="41" t="n"/>
      <c r="C682" s="41" t="n"/>
      <c r="D682" s="41" t="n"/>
    </row>
    <row r="683">
      <c r="A683" s="41" t="inlineStr">
        <is>
          <t>カラム</t>
        </is>
      </c>
      <c r="B683" s="41" t="inlineStr">
        <is>
          <t>型</t>
        </is>
      </c>
      <c r="C683" s="41" t="inlineStr">
        <is>
          <t>説明</t>
        </is>
      </c>
      <c r="D683" s="41" t="inlineStr">
        <is>
          <t>必須</t>
        </is>
      </c>
    </row>
    <row r="684">
      <c r="A684" s="41" t="inlineStr">
        <is>
          <t>id</t>
        </is>
      </c>
      <c r="B684" s="41" t="inlineStr">
        <is>
          <t>uuid PK</t>
        </is>
      </c>
      <c r="C684" s="41" t="inlineStr"/>
      <c r="D684" s="41" t="n"/>
    </row>
    <row r="685">
      <c r="A685" s="41" t="inlineStr">
        <is>
          <t>handoff_id</t>
        </is>
      </c>
      <c r="B685" s="41" t="inlineStr">
        <is>
          <t>uuid REFERENCES handoffs(id) ON DELETE CASCADE</t>
        </is>
      </c>
      <c r="C685" s="41" t="inlineStr"/>
      <c r="D685" s="41" t="n"/>
    </row>
    <row r="686">
      <c r="A686" s="41" t="inlineStr">
        <is>
          <t>recording_segment_id</t>
        </is>
      </c>
      <c r="B686" s="41" t="inlineStr">
        <is>
          <t>uuid</t>
        </is>
      </c>
      <c r="C686" s="41" t="inlineStr">
        <is>
          <t>引用</t>
        </is>
      </c>
      <c r="D686" s="41" t="inlineStr">
        <is>
          <t>任意</t>
        </is>
      </c>
    </row>
    <row r="687">
      <c r="A687" s="41" t="inlineStr">
        <is>
          <t>reporter_id</t>
        </is>
      </c>
      <c r="B687" s="41" t="inlineStr">
        <is>
          <t>uuid REFERENCES users(id)</t>
        </is>
      </c>
      <c r="C687" s="41" t="inlineStr"/>
      <c r="D687" s="41" t="n"/>
    </row>
    <row r="688">
      <c r="A688" s="41" t="inlineStr">
        <is>
          <t>note</t>
        </is>
      </c>
      <c r="B688" s="41" t="inlineStr">
        <is>
          <t>text</t>
        </is>
      </c>
      <c r="C688" s="41" t="inlineStr"/>
      <c r="D688" s="41" t="n"/>
    </row>
    <row r="689">
      <c r="A689" s="41" t="inlineStr">
        <is>
          <t>status</t>
        </is>
      </c>
      <c r="B689" s="41" t="inlineStr">
        <is>
          <t>text</t>
        </is>
      </c>
      <c r="C689" s="41" t="inlineStr">
        <is>
          <t>open|ack|resolved</t>
        </is>
      </c>
      <c r="D689" s="41" t="inlineStr">
        <is>
          <t>必須</t>
        </is>
      </c>
    </row>
    <row r="690">
      <c r="A690" s="41" t="inlineStr">
        <is>
          <t>created_at</t>
        </is>
      </c>
      <c r="B690" s="41" t="inlineStr">
        <is>
          <t>timestamptz DEFAULT now()</t>
        </is>
      </c>
      <c r="C690" s="41" t="inlineStr"/>
      <c r="D690" s="41" t="n"/>
    </row>
    <row r="691">
      <c r="A691" s="41" t="n"/>
      <c r="B691" s="41" t="n"/>
      <c r="C691" s="41" t="n"/>
      <c r="D691" s="41" t="n"/>
    </row>
    <row r="692">
      <c r="A692" s="41" t="inlineStr">
        <is>
          <t>▼ contract_renewals</t>
        </is>
      </c>
      <c r="B692" s="41" t="n"/>
      <c r="C692" s="41" t="n"/>
      <c r="D692" s="41" t="n"/>
    </row>
    <row r="693">
      <c r="A693" s="41" t="inlineStr">
        <is>
          <t>カラム</t>
        </is>
      </c>
      <c r="B693" s="41" t="inlineStr">
        <is>
          <t>型</t>
        </is>
      </c>
      <c r="C693" s="41" t="inlineStr">
        <is>
          <t>説明</t>
        </is>
      </c>
      <c r="D693" s="41" t="inlineStr">
        <is>
          <t>必須</t>
        </is>
      </c>
    </row>
    <row r="694">
      <c r="A694" s="41" t="inlineStr">
        <is>
          <t>id</t>
        </is>
      </c>
      <c r="B694" s="41" t="inlineStr">
        <is>
          <t>uuid PK</t>
        </is>
      </c>
      <c r="C694" s="41" t="inlineStr"/>
      <c r="D694" s="41" t="n"/>
    </row>
    <row r="695">
      <c r="A695" s="41" t="inlineStr">
        <is>
          <t>contract_id</t>
        </is>
      </c>
      <c r="B695" s="41" t="inlineStr">
        <is>
          <t>uuid REFERENCES contracts(id) ON DELETE CASCADE</t>
        </is>
      </c>
      <c r="C695" s="41" t="inlineStr"/>
      <c r="D695" s="41" t="n"/>
    </row>
    <row r="696">
      <c r="A696" s="41" t="inlineStr">
        <is>
          <t>renewal_date</t>
        </is>
      </c>
      <c r="B696" s="41" t="inlineStr">
        <is>
          <t>date</t>
        </is>
      </c>
      <c r="C696" s="41" t="inlineStr"/>
      <c r="D696" s="41" t="n"/>
    </row>
    <row r="697">
      <c r="A697" s="41" t="inlineStr">
        <is>
          <t>alert_3m_sent</t>
        </is>
      </c>
      <c r="B697" s="41" t="inlineStr">
        <is>
          <t>boolean DEFAULT false</t>
        </is>
      </c>
      <c r="C697" s="41" t="inlineStr"/>
      <c r="D697" s="41" t="n"/>
    </row>
    <row r="698">
      <c r="A698" s="41" t="inlineStr">
        <is>
          <t>alert_1m_sent</t>
        </is>
      </c>
      <c r="B698" s="41" t="inlineStr">
        <is>
          <t>boolean DEFAULT false</t>
        </is>
      </c>
      <c r="C698" s="41" t="inlineStr"/>
      <c r="D698" s="41" t="n"/>
    </row>
    <row r="699">
      <c r="A699" s="41" t="inlineStr">
        <is>
          <t>status</t>
        </is>
      </c>
      <c r="B699" s="41" t="inlineStr">
        <is>
          <t>text</t>
        </is>
      </c>
      <c r="C699" s="41" t="inlineStr">
        <is>
          <t>upcoming|renewed|churned</t>
        </is>
      </c>
      <c r="D699" s="41" t="inlineStr">
        <is>
          <t>必須</t>
        </is>
      </c>
    </row>
    <row r="700">
      <c r="A700" s="41" t="n"/>
      <c r="B700" s="41" t="n"/>
      <c r="C700" s="41" t="n"/>
      <c r="D700" s="41" t="n"/>
    </row>
    <row r="701">
      <c r="A701" s="41" t="inlineStr">
        <is>
          <t>▼ upsell_signals</t>
        </is>
      </c>
      <c r="B701" s="41" t="n"/>
      <c r="C701" s="41" t="n"/>
      <c r="D701" s="41" t="n"/>
    </row>
    <row r="702">
      <c r="A702" s="41" t="inlineStr">
        <is>
          <t>カラム</t>
        </is>
      </c>
      <c r="B702" s="41" t="inlineStr">
        <is>
          <t>型</t>
        </is>
      </c>
      <c r="C702" s="41" t="inlineStr">
        <is>
          <t>説明</t>
        </is>
      </c>
      <c r="D702" s="41" t="inlineStr">
        <is>
          <t>必須</t>
        </is>
      </c>
    </row>
    <row r="703">
      <c r="A703" s="41" t="inlineStr">
        <is>
          <t>id</t>
        </is>
      </c>
      <c r="B703" s="41" t="inlineStr">
        <is>
          <t>uuid PK</t>
        </is>
      </c>
      <c r="C703" s="41" t="inlineStr"/>
      <c r="D703" s="41" t="n"/>
    </row>
    <row r="704">
      <c r="A704" s="41" t="inlineStr">
        <is>
          <t>customer_company_id</t>
        </is>
      </c>
      <c r="B704" s="41" t="inlineStr">
        <is>
          <t>uuid</t>
        </is>
      </c>
      <c r="C704" s="41" t="inlineStr"/>
      <c r="D704" s="41" t="n"/>
    </row>
    <row r="705">
      <c r="A705" s="41" t="inlineStr">
        <is>
          <t>recording_segment_id</t>
        </is>
      </c>
      <c r="B705" s="41" t="inlineStr">
        <is>
          <t>uuid</t>
        </is>
      </c>
      <c r="C705" s="41" t="inlineStr"/>
      <c r="D705" s="41" t="n"/>
    </row>
    <row r="706">
      <c r="A706" s="41" t="inlineStr">
        <is>
          <t>signal_type</t>
        </is>
      </c>
      <c r="B706" s="41" t="inlineStr">
        <is>
          <t>text</t>
        </is>
      </c>
      <c r="C706" s="41" t="inlineStr">
        <is>
          <t>expansion|new_use_case|complaint_with_demand</t>
        </is>
      </c>
      <c r="D706" s="41" t="inlineStr">
        <is>
          <t>必須</t>
        </is>
      </c>
    </row>
    <row r="707">
      <c r="A707" s="41" t="inlineStr">
        <is>
          <t>confidence</t>
        </is>
      </c>
      <c r="B707" s="41" t="inlineStr">
        <is>
          <t>numeric(3,2)</t>
        </is>
      </c>
      <c r="C707" s="41" t="inlineStr"/>
      <c r="D707" s="41" t="n"/>
    </row>
    <row r="708">
      <c r="A708" s="41" t="inlineStr">
        <is>
          <t>assigned_to</t>
        </is>
      </c>
      <c r="B708" s="41" t="inlineStr">
        <is>
          <t>uuid REFERENCES users(id)</t>
        </is>
      </c>
      <c r="C708" s="41" t="inlineStr"/>
      <c r="D708" s="41" t="n"/>
    </row>
    <row r="709">
      <c r="A709" s="41" t="inlineStr">
        <is>
          <t>status</t>
        </is>
      </c>
      <c r="B709" s="41" t="inlineStr">
        <is>
          <t>text</t>
        </is>
      </c>
      <c r="C709" s="41" t="inlineStr">
        <is>
          <t>new|contacted|won|lost</t>
        </is>
      </c>
      <c r="D709" s="41" t="inlineStr">
        <is>
          <t>必須</t>
        </is>
      </c>
    </row>
    <row r="710">
      <c r="A710" s="41" t="n"/>
      <c r="B710" s="41" t="n"/>
      <c r="C710" s="41" t="n"/>
      <c r="D710" s="41" t="n"/>
    </row>
    <row r="711">
      <c r="A711" s="41" t="inlineStr">
        <is>
          <t>▼ email_undo_tokens</t>
        </is>
      </c>
      <c r="B711" s="41" t="n"/>
      <c r="C711" s="41" t="n"/>
      <c r="D711" s="41" t="n"/>
    </row>
    <row r="712">
      <c r="A712" s="41" t="inlineStr">
        <is>
          <t>カラム</t>
        </is>
      </c>
      <c r="B712" s="41" t="inlineStr">
        <is>
          <t>型</t>
        </is>
      </c>
      <c r="C712" s="41" t="inlineStr">
        <is>
          <t>説明</t>
        </is>
      </c>
      <c r="D712" s="41" t="inlineStr">
        <is>
          <t>必須</t>
        </is>
      </c>
    </row>
    <row r="713">
      <c r="A713" s="41" t="inlineStr">
        <is>
          <t>token</t>
        </is>
      </c>
      <c r="B713" s="41" t="inlineStr">
        <is>
          <t>text PK</t>
        </is>
      </c>
      <c r="C713" s="41" t="inlineStr"/>
      <c r="D713" s="41" t="n"/>
    </row>
    <row r="714">
      <c r="A714" s="41" t="inlineStr">
        <is>
          <t>email_draft_id</t>
        </is>
      </c>
      <c r="B714" s="41" t="inlineStr">
        <is>
          <t>uuid REFERENCES email_drafts(id)</t>
        </is>
      </c>
      <c r="C714" s="41" t="inlineStr"/>
      <c r="D714" s="41" t="n"/>
    </row>
    <row r="715">
      <c r="A715" s="41" t="inlineStr">
        <is>
          <t>dispatch_at</t>
        </is>
      </c>
      <c r="B715" s="41" t="inlineStr">
        <is>
          <t>timestamptz</t>
        </is>
      </c>
      <c r="C715" s="41" t="inlineStr">
        <is>
          <t>30秒後</t>
        </is>
      </c>
      <c r="D715" s="41" t="inlineStr">
        <is>
          <t>必須</t>
        </is>
      </c>
    </row>
    <row r="716">
      <c r="A716" s="41" t="inlineStr">
        <is>
          <t>status</t>
        </is>
      </c>
      <c r="B716" s="41" t="inlineStr">
        <is>
          <t>text</t>
        </is>
      </c>
      <c r="C716" s="41" t="inlineStr">
        <is>
          <t>pending|sent|cancelled</t>
        </is>
      </c>
      <c r="D716" s="41" t="inlineStr">
        <is>
          <t>必須</t>
        </is>
      </c>
    </row>
    <row r="717">
      <c r="A717" s="41" t="inlineStr">
        <is>
          <t>created_at</t>
        </is>
      </c>
      <c r="B717" s="41" t="inlineStr">
        <is>
          <t>timestamptz DEFAULT now()</t>
        </is>
      </c>
      <c r="C717" s="41" t="inlineStr"/>
      <c r="D717" s="41" t="n"/>
    </row>
    <row r="718">
      <c r="A718" s="41" t="n"/>
      <c r="B718" s="41" t="n"/>
      <c r="C718" s="41" t="n"/>
      <c r="D718" s="41" t="n"/>
    </row>
    <row r="719">
      <c r="A719" s="41" t="inlineStr">
        <is>
          <t>▼ sync_failure_log</t>
        </is>
      </c>
      <c r="B719" s="41" t="n"/>
      <c r="C719" s="41" t="n"/>
      <c r="D719" s="41" t="n"/>
    </row>
    <row r="720">
      <c r="A720" s="41" t="inlineStr">
        <is>
          <t>カラム</t>
        </is>
      </c>
      <c r="B720" s="41" t="inlineStr">
        <is>
          <t>型</t>
        </is>
      </c>
      <c r="C720" s="41" t="inlineStr">
        <is>
          <t>説明</t>
        </is>
      </c>
      <c r="D720" s="41" t="inlineStr">
        <is>
          <t>必須</t>
        </is>
      </c>
    </row>
    <row r="721">
      <c r="A721" s="41" t="inlineStr">
        <is>
          <t>id</t>
        </is>
      </c>
      <c r="B721" s="41" t="inlineStr">
        <is>
          <t>uuid PK</t>
        </is>
      </c>
      <c r="C721" s="41" t="inlineStr"/>
      <c r="D721" s="41" t="n"/>
    </row>
    <row r="722">
      <c r="A722" s="41" t="inlineStr">
        <is>
          <t>user_id</t>
        </is>
      </c>
      <c r="B722" s="41" t="inlineStr">
        <is>
          <t>uuid</t>
        </is>
      </c>
      <c r="C722" s="41" t="inlineStr"/>
      <c r="D722" s="41" t="n"/>
    </row>
    <row r="723">
      <c r="A723" s="41" t="inlineStr">
        <is>
          <t>target</t>
        </is>
      </c>
      <c r="B723" s="41" t="inlineStr">
        <is>
          <t>text</t>
        </is>
      </c>
      <c r="C723" s="41" t="inlineStr">
        <is>
          <t>google_calendar|zoom|gmail</t>
        </is>
      </c>
      <c r="D723" s="41" t="inlineStr">
        <is>
          <t>必須</t>
        </is>
      </c>
    </row>
    <row r="724">
      <c r="A724" s="41" t="inlineStr">
        <is>
          <t>error</t>
        </is>
      </c>
      <c r="B724" s="41" t="inlineStr">
        <is>
          <t>text</t>
        </is>
      </c>
      <c r="C724" s="41" t="inlineStr"/>
      <c r="D724" s="41" t="n"/>
    </row>
    <row r="725">
      <c r="A725" s="41" t="inlineStr">
        <is>
          <t>occurred_at</t>
        </is>
      </c>
      <c r="B725" s="41" t="inlineStr">
        <is>
          <t>timestamptz DEFAULT now()</t>
        </is>
      </c>
      <c r="C725" s="41" t="inlineStr"/>
      <c r="D725" s="41" t="n"/>
    </row>
    <row r="726">
      <c r="A726" s="41" t="inlineStr">
        <is>
          <t>resolved_at</t>
        </is>
      </c>
      <c r="B726" s="41" t="inlineStr">
        <is>
          <t>timestamptz</t>
        </is>
      </c>
      <c r="C726" s="41" t="inlineStr"/>
      <c r="D726" s="41" t="n"/>
    </row>
    <row r="727">
      <c r="A727" s="41" t="n"/>
      <c r="B727" s="41" t="n"/>
      <c r="C727" s="41" t="n"/>
      <c r="D727" s="41" t="n"/>
    </row>
    <row r="728">
      <c r="A728" s="41" t="inlineStr">
        <is>
          <t>▼ permission_requests</t>
        </is>
      </c>
      <c r="B728" s="41" t="n"/>
      <c r="C728" s="41" t="n"/>
      <c r="D728" s="41" t="n"/>
    </row>
    <row r="729">
      <c r="A729" s="41" t="inlineStr">
        <is>
          <t>カラム</t>
        </is>
      </c>
      <c r="B729" s="41" t="inlineStr">
        <is>
          <t>型</t>
        </is>
      </c>
      <c r="C729" s="41" t="inlineStr">
        <is>
          <t>説明</t>
        </is>
      </c>
      <c r="D729" s="41" t="inlineStr">
        <is>
          <t>必須</t>
        </is>
      </c>
    </row>
    <row r="730">
      <c r="A730" s="41" t="inlineStr">
        <is>
          <t>id</t>
        </is>
      </c>
      <c r="B730" s="41" t="inlineStr">
        <is>
          <t>uuid PK</t>
        </is>
      </c>
      <c r="C730" s="41" t="inlineStr"/>
      <c r="D730" s="41" t="n"/>
    </row>
    <row r="731">
      <c r="A731" s="41" t="inlineStr">
        <is>
          <t>requester_id</t>
        </is>
      </c>
      <c r="B731" s="41" t="inlineStr">
        <is>
          <t>uuid REFERENCES users(id)</t>
        </is>
      </c>
      <c r="C731" s="41" t="inlineStr"/>
      <c r="D731" s="41" t="n"/>
    </row>
    <row r="732">
      <c r="A732" s="41" t="inlineStr">
        <is>
          <t>resource</t>
        </is>
      </c>
      <c r="B732" s="41" t="inlineStr">
        <is>
          <t>text</t>
        </is>
      </c>
      <c r="C732" s="41" t="inlineStr"/>
      <c r="D732" s="41" t="n"/>
    </row>
    <row r="733">
      <c r="A733" s="41" t="inlineStr">
        <is>
          <t>action</t>
        </is>
      </c>
      <c r="B733" s="41" t="inlineStr">
        <is>
          <t>text</t>
        </is>
      </c>
      <c r="C733" s="41" t="inlineStr"/>
      <c r="D733" s="41" t="n"/>
    </row>
    <row r="734">
      <c r="A734" s="41" t="inlineStr">
        <is>
          <t>status</t>
        </is>
      </c>
      <c r="B734" s="41" t="inlineStr">
        <is>
          <t>text</t>
        </is>
      </c>
      <c r="C734" s="41" t="inlineStr">
        <is>
          <t>pending|approved|denied</t>
        </is>
      </c>
      <c r="D734" s="41" t="inlineStr">
        <is>
          <t>必須</t>
        </is>
      </c>
    </row>
    <row r="735">
      <c r="A735" s="41" t="inlineStr">
        <is>
          <t>approver_id</t>
        </is>
      </c>
      <c r="B735" s="41" t="inlineStr">
        <is>
          <t>uuid</t>
        </is>
      </c>
      <c r="C735" s="41" t="inlineStr"/>
      <c r="D735" s="41" t="n"/>
    </row>
    <row r="736">
      <c r="A736" s="41" t="inlineStr">
        <is>
          <t>created_at</t>
        </is>
      </c>
      <c r="B736" s="41" t="inlineStr">
        <is>
          <t>timestamptz DEFAULT now()</t>
        </is>
      </c>
      <c r="C736" s="41" t="inlineStr"/>
      <c r="D736" s="41" t="n"/>
    </row>
    <row r="737">
      <c r="A737" s="41" t="n"/>
      <c r="B737" s="41" t="n"/>
      <c r="C737" s="41" t="n"/>
      <c r="D737" s="41" t="n"/>
    </row>
    <row r="738">
      <c r="A738" s="41" t="inlineStr">
        <is>
          <t>▼ autosave_drafts</t>
        </is>
      </c>
      <c r="B738" s="41" t="n"/>
      <c r="C738" s="41" t="n"/>
      <c r="D738" s="41" t="n"/>
    </row>
    <row r="739">
      <c r="A739" s="41" t="inlineStr">
        <is>
          <t>カラム</t>
        </is>
      </c>
      <c r="B739" s="41" t="inlineStr">
        <is>
          <t>型</t>
        </is>
      </c>
      <c r="C739" s="41" t="inlineStr">
        <is>
          <t>説明</t>
        </is>
      </c>
      <c r="D739" s="41" t="inlineStr">
        <is>
          <t>必須</t>
        </is>
      </c>
    </row>
    <row r="740">
      <c r="A740" s="41" t="inlineStr">
        <is>
          <t>id</t>
        </is>
      </c>
      <c r="B740" s="41" t="inlineStr">
        <is>
          <t>uuid PK</t>
        </is>
      </c>
      <c r="C740" s="41" t="inlineStr"/>
      <c r="D740" s="41" t="n"/>
    </row>
    <row r="741">
      <c r="A741" s="41" t="inlineStr">
        <is>
          <t>user_id</t>
        </is>
      </c>
      <c r="B741" s="41" t="inlineStr">
        <is>
          <t>uuid REFERENCES users(id)</t>
        </is>
      </c>
      <c r="C741" s="41" t="inlineStr"/>
      <c r="D741" s="41" t="n"/>
    </row>
    <row r="742">
      <c r="A742" s="41" t="inlineStr">
        <is>
          <t>form_key</t>
        </is>
      </c>
      <c r="B742" s="41" t="inlineStr">
        <is>
          <t>text</t>
        </is>
      </c>
      <c r="C742" s="41" t="inlineStr">
        <is>
          <t>画面ID+resource_id</t>
        </is>
      </c>
      <c r="D742" s="41" t="inlineStr">
        <is>
          <t>必須</t>
        </is>
      </c>
    </row>
    <row r="743">
      <c r="A743" s="41" t="inlineStr">
        <is>
          <t>payload</t>
        </is>
      </c>
      <c r="B743" s="41" t="inlineStr">
        <is>
          <t>jsonb</t>
        </is>
      </c>
      <c r="C743" s="41" t="inlineStr"/>
      <c r="D743" s="41" t="n"/>
    </row>
    <row r="744">
      <c r="A744" s="41" t="inlineStr">
        <is>
          <t>updated_at</t>
        </is>
      </c>
      <c r="B744" s="41" t="inlineStr">
        <is>
          <t>timestamptz DEFAULT now()</t>
        </is>
      </c>
      <c r="C744" s="41" t="inlineStr"/>
      <c r="D744" s="41" t="n"/>
    </row>
    <row r="745">
      <c r="A745" s="41" t="inlineStr">
        <is>
          <t>UNIQUE</t>
        </is>
      </c>
      <c r="B745" s="41" t="inlineStr">
        <is>
          <t>(user_id, form_key)</t>
        </is>
      </c>
      <c r="C745" s="41" t="inlineStr"/>
      <c r="D745" s="41" t="n"/>
    </row>
    <row r="746">
      <c r="A746" s="41" t="n"/>
      <c r="B746" s="41" t="n"/>
      <c r="C746" s="41" t="n"/>
      <c r="D746" s="41" t="n"/>
    </row>
    <row r="747">
      <c r="A747" s="41" t="inlineStr">
        <is>
          <t>▼ dangerous_action_audits</t>
        </is>
      </c>
      <c r="B747" s="41" t="n"/>
      <c r="C747" s="41" t="n"/>
      <c r="D747" s="41" t="n"/>
    </row>
    <row r="748">
      <c r="A748" s="41" t="inlineStr">
        <is>
          <t>カラム</t>
        </is>
      </c>
      <c r="B748" s="41" t="inlineStr">
        <is>
          <t>型</t>
        </is>
      </c>
      <c r="C748" s="41" t="inlineStr">
        <is>
          <t>説明</t>
        </is>
      </c>
      <c r="D748" s="41" t="inlineStr">
        <is>
          <t>必須</t>
        </is>
      </c>
    </row>
    <row r="749">
      <c r="A749" s="41" t="inlineStr">
        <is>
          <t>id</t>
        </is>
      </c>
      <c r="B749" s="41" t="inlineStr">
        <is>
          <t>uuid PK</t>
        </is>
      </c>
      <c r="C749" s="41" t="inlineStr"/>
      <c r="D749" s="41" t="n"/>
    </row>
    <row r="750">
      <c r="A750" s="41" t="inlineStr">
        <is>
          <t>actor_id</t>
        </is>
      </c>
      <c r="B750" s="41" t="inlineStr">
        <is>
          <t>uuid REFERENCES users(id)</t>
        </is>
      </c>
      <c r="C750" s="41" t="inlineStr"/>
      <c r="D750" s="41" t="n"/>
    </row>
    <row r="751">
      <c r="A751" s="41" t="inlineStr">
        <is>
          <t>action</t>
        </is>
      </c>
      <c r="B751" s="41" t="inlineStr">
        <is>
          <t>text</t>
        </is>
      </c>
      <c r="C751" s="41" t="inlineStr">
        <is>
          <t>bulk_delete|rollback|export_all|policy_change</t>
        </is>
      </c>
      <c r="D751" s="41" t="inlineStr">
        <is>
          <t>必須</t>
        </is>
      </c>
    </row>
    <row r="752">
      <c r="A752" s="41" t="inlineStr">
        <is>
          <t>scope</t>
        </is>
      </c>
      <c r="B752" s="41" t="inlineStr">
        <is>
          <t>jsonb</t>
        </is>
      </c>
      <c r="C752" s="41" t="inlineStr"/>
      <c r="D752" s="41" t="n"/>
    </row>
    <row r="753">
      <c r="A753" s="41" t="inlineStr">
        <is>
          <t>reason</t>
        </is>
      </c>
      <c r="B753" s="41" t="inlineStr">
        <is>
          <t>text</t>
        </is>
      </c>
      <c r="C753" s="41" t="inlineStr">
        <is>
          <t>入力必須</t>
        </is>
      </c>
      <c r="D753" s="41" t="inlineStr">
        <is>
          <t>必須</t>
        </is>
      </c>
    </row>
    <row r="754">
      <c r="A754" s="41" t="inlineStr">
        <is>
          <t>confirmed_via</t>
        </is>
      </c>
      <c r="B754" s="41" t="inlineStr">
        <is>
          <t>text</t>
        </is>
      </c>
      <c r="C754" s="41" t="inlineStr">
        <is>
          <t>mfa|password|none</t>
        </is>
      </c>
      <c r="D754" s="41" t="inlineStr">
        <is>
          <t>必須</t>
        </is>
      </c>
    </row>
    <row r="755">
      <c r="A755" s="41" t="inlineStr">
        <is>
          <t>occurred_at</t>
        </is>
      </c>
      <c r="B755" s="41" t="inlineStr">
        <is>
          <t>timestamptz DEFAULT now()</t>
        </is>
      </c>
      <c r="C755" s="41" t="inlineStr"/>
      <c r="D755" s="41" t="n"/>
    </row>
    <row r="756">
      <c r="A756" s="41" t="n"/>
      <c r="B756" s="41" t="n"/>
      <c r="C756" s="41" t="n"/>
      <c r="D756" s="41" t="n"/>
    </row>
    <row r="757">
      <c r="A757" s="41" t="inlineStr">
        <is>
          <t>▼ meeting_consent_captures</t>
        </is>
      </c>
      <c r="B757" s="41" t="n"/>
      <c r="C757" s="41" t="n"/>
      <c r="D757" s="41" t="n"/>
    </row>
    <row r="758">
      <c r="A758" s="41" t="inlineStr">
        <is>
          <t>カラム</t>
        </is>
      </c>
      <c r="B758" s="41" t="inlineStr">
        <is>
          <t>型</t>
        </is>
      </c>
      <c r="C758" s="41" t="inlineStr">
        <is>
          <t>説明</t>
        </is>
      </c>
      <c r="D758" s="41" t="inlineStr">
        <is>
          <t>必須</t>
        </is>
      </c>
    </row>
    <row r="759">
      <c r="A759" s="41" t="inlineStr">
        <is>
          <t>id</t>
        </is>
      </c>
      <c r="B759" s="41" t="inlineStr">
        <is>
          <t>uuid PK</t>
        </is>
      </c>
      <c r="C759" s="41" t="inlineStr"/>
      <c r="D759" s="41" t="n"/>
    </row>
    <row r="760">
      <c r="A760" s="41" t="inlineStr">
        <is>
          <t>meeting_id</t>
        </is>
      </c>
      <c r="B760" s="41" t="inlineStr">
        <is>
          <t>uuid REFERENCES meetings(id) ON DELETE CASCADE</t>
        </is>
      </c>
      <c r="C760" s="41" t="inlineStr"/>
      <c r="D760" s="41" t="n"/>
    </row>
    <row r="761">
      <c r="A761" s="41" t="inlineStr">
        <is>
          <t>captured_at</t>
        </is>
      </c>
      <c r="B761" s="41" t="inlineStr">
        <is>
          <t>timestamptz</t>
        </is>
      </c>
      <c r="C761" s="41" t="inlineStr"/>
      <c r="D761" s="41" t="n"/>
    </row>
    <row r="762">
      <c r="A762" s="41" t="inlineStr">
        <is>
          <t>consent</t>
        </is>
      </c>
      <c r="B762" s="41" t="inlineStr">
        <is>
          <t>boolean</t>
        </is>
      </c>
      <c r="C762" s="41" t="inlineStr"/>
      <c r="D762" s="41" t="n"/>
    </row>
    <row r="763">
      <c r="A763" s="41" t="inlineStr">
        <is>
          <t>captured_by</t>
        </is>
      </c>
      <c r="B763" s="41" t="inlineStr">
        <is>
          <t>text</t>
        </is>
      </c>
      <c r="C763" s="41" t="inlineStr">
        <is>
          <t>auto_announcement|manual</t>
        </is>
      </c>
      <c r="D763" s="41" t="inlineStr">
        <is>
          <t>必須</t>
        </is>
      </c>
    </row>
    <row r="764">
      <c r="A764" s="41" t="inlineStr">
        <is>
          <t>recording_segment_id</t>
        </is>
      </c>
      <c r="B764" s="41" t="inlineStr">
        <is>
          <t>uuid</t>
        </is>
      </c>
      <c r="C764" s="41" t="inlineStr">
        <is>
          <t>証跡発話</t>
        </is>
      </c>
      <c r="D764" s="41" t="inlineStr">
        <is>
          <t>任意</t>
        </is>
      </c>
    </row>
    <row r="765">
      <c r="A765" s="41" t="n"/>
      <c r="B765" s="41" t="n"/>
      <c r="C765" s="41" t="n"/>
      <c r="D765" s="41" t="n"/>
    </row>
    <row r="766">
      <c r="A766" s="41" t="inlineStr">
        <is>
          <t>▼ data_deletion_requests</t>
        </is>
      </c>
      <c r="B766" s="41" t="n"/>
      <c r="C766" s="41" t="n"/>
      <c r="D766" s="41" t="n"/>
    </row>
    <row r="767">
      <c r="A767" s="41" t="inlineStr">
        <is>
          <t>カラム</t>
        </is>
      </c>
      <c r="B767" s="41" t="inlineStr">
        <is>
          <t>型</t>
        </is>
      </c>
      <c r="C767" s="41" t="inlineStr">
        <is>
          <t>説明</t>
        </is>
      </c>
      <c r="D767" s="41" t="inlineStr">
        <is>
          <t>必須</t>
        </is>
      </c>
    </row>
    <row r="768">
      <c r="A768" s="41" t="inlineStr">
        <is>
          <t>id</t>
        </is>
      </c>
      <c r="B768" s="41" t="inlineStr">
        <is>
          <t>uuid PK</t>
        </is>
      </c>
      <c r="C768" s="41" t="inlineStr"/>
      <c r="D768" s="41" t="n"/>
    </row>
    <row r="769">
      <c r="A769" s="41" t="inlineStr">
        <is>
          <t>ticket_id</t>
        </is>
      </c>
      <c r="B769" s="41" t="inlineStr">
        <is>
          <t>text UNIQUE</t>
        </is>
      </c>
      <c r="C769" s="41" t="inlineStr"/>
      <c r="D769" s="41" t="n"/>
    </row>
    <row r="770">
      <c r="A770" s="41" t="inlineStr">
        <is>
          <t>requester_email</t>
        </is>
      </c>
      <c r="B770" s="41" t="inlineStr">
        <is>
          <t>text</t>
        </is>
      </c>
      <c r="C770" s="41" t="inlineStr"/>
      <c r="D770" s="41" t="n"/>
    </row>
    <row r="771">
      <c r="A771" s="41" t="inlineStr">
        <is>
          <t>target_kind</t>
        </is>
      </c>
      <c r="B771" s="41" t="inlineStr">
        <is>
          <t>text</t>
        </is>
      </c>
      <c r="C771" s="41" t="inlineStr">
        <is>
          <t>recording_segment|contact|message</t>
        </is>
      </c>
      <c r="D771" s="41" t="inlineStr">
        <is>
          <t>必須</t>
        </is>
      </c>
    </row>
    <row r="772">
      <c r="A772" s="41" t="inlineStr">
        <is>
          <t>target_id</t>
        </is>
      </c>
      <c r="B772" s="41" t="inlineStr">
        <is>
          <t>uuid</t>
        </is>
      </c>
      <c r="C772" s="41" t="inlineStr"/>
      <c r="D772" s="41" t="n"/>
    </row>
    <row r="773">
      <c r="A773" s="41" t="inlineStr">
        <is>
          <t>reason</t>
        </is>
      </c>
      <c r="B773" s="41" t="inlineStr">
        <is>
          <t>text</t>
        </is>
      </c>
      <c r="C773" s="41" t="inlineStr"/>
      <c r="D773" s="41" t="n"/>
    </row>
    <row r="774">
      <c r="A774" s="41" t="inlineStr">
        <is>
          <t>status</t>
        </is>
      </c>
      <c r="B774" s="41" t="inlineStr">
        <is>
          <t>text</t>
        </is>
      </c>
      <c r="C774" s="41" t="inlineStr">
        <is>
          <t>received|under_review|approved|denied|completed</t>
        </is>
      </c>
      <c r="D774" s="41" t="inlineStr">
        <is>
          <t>必須</t>
        </is>
      </c>
    </row>
    <row r="775">
      <c r="A775" s="41" t="inlineStr">
        <is>
          <t>due_at</t>
        </is>
      </c>
      <c r="B775" s="41" t="inlineStr">
        <is>
          <t>timestamptz</t>
        </is>
      </c>
      <c r="C775" s="41" t="inlineStr">
        <is>
          <t>受付+30日</t>
        </is>
      </c>
      <c r="D775" s="41" t="inlineStr">
        <is>
          <t>必須</t>
        </is>
      </c>
    </row>
    <row r="776">
      <c r="A776" s="41" t="inlineStr">
        <is>
          <t>created_at</t>
        </is>
      </c>
      <c r="B776" s="41" t="inlineStr">
        <is>
          <t>timestamptz DEFAULT now()</t>
        </is>
      </c>
      <c r="C776" s="41" t="inlineStr"/>
      <c r="D776" s="41" t="n"/>
    </row>
    <row r="777">
      <c r="A777" s="41" t="n"/>
      <c r="B777" s="41" t="n"/>
      <c r="C777" s="41" t="n"/>
      <c r="D777" s="41" t="n"/>
    </row>
    <row r="778">
      <c r="A778" s="41" t="inlineStr">
        <is>
          <t>▼ ex_employee_speech_policies</t>
        </is>
      </c>
      <c r="B778" s="41" t="n"/>
      <c r="C778" s="41" t="n"/>
      <c r="D778" s="41" t="n"/>
    </row>
    <row r="779">
      <c r="A779" s="41" t="inlineStr">
        <is>
          <t>カラム</t>
        </is>
      </c>
      <c r="B779" s="41" t="inlineStr">
        <is>
          <t>型</t>
        </is>
      </c>
      <c r="C779" s="41" t="inlineStr">
        <is>
          <t>説明</t>
        </is>
      </c>
      <c r="D779" s="41" t="inlineStr">
        <is>
          <t>必須</t>
        </is>
      </c>
    </row>
    <row r="780">
      <c r="A780" s="41" t="inlineStr">
        <is>
          <t>org_id</t>
        </is>
      </c>
      <c r="B780" s="41" t="inlineStr">
        <is>
          <t>uuid PK</t>
        </is>
      </c>
      <c r="C780" s="41" t="inlineStr"/>
      <c r="D780" s="41" t="n"/>
    </row>
    <row r="781">
      <c r="A781" s="41" t="inlineStr">
        <is>
          <t>policy</t>
        </is>
      </c>
      <c r="B781" s="41" t="inlineStr">
        <is>
          <t>text CHECK (policy IN ('retain','anonymize','delete'))</t>
        </is>
      </c>
      <c r="C781" s="41" t="inlineStr"/>
      <c r="D781" s="41" t="n"/>
    </row>
    <row r="782">
      <c r="A782" s="41" t="inlineStr">
        <is>
          <t>legal_hold</t>
        </is>
      </c>
      <c r="B782" s="41" t="inlineStr">
        <is>
          <t>boolean DEFAULT false</t>
        </is>
      </c>
      <c r="C782" s="41" t="inlineStr"/>
      <c r="D782" s="41" t="n"/>
    </row>
    <row r="783">
      <c r="A783" s="41" t="inlineStr">
        <is>
          <t>updated_by</t>
        </is>
      </c>
      <c r="B783" s="41" t="inlineStr">
        <is>
          <t>uuid</t>
        </is>
      </c>
      <c r="C783" s="41" t="inlineStr"/>
      <c r="D783" s="41" t="n"/>
    </row>
    <row r="784">
      <c r="A784" s="41" t="inlineStr">
        <is>
          <t>updated_at</t>
        </is>
      </c>
      <c r="B784" s="41" t="inlineStr">
        <is>
          <t>timestamptz DEFAULT now()</t>
        </is>
      </c>
      <c r="C784" s="41" t="inlineStr"/>
      <c r="D784" s="41" t="n"/>
    </row>
    <row r="785">
      <c r="A785" s="41" t="n"/>
      <c r="B785" s="41" t="n"/>
      <c r="C785" s="41" t="n"/>
      <c r="D785" s="41" t="n"/>
    </row>
    <row r="786">
      <c r="A786" s="41" t="inlineStr">
        <is>
          <t>▼ legal_disclosure_requests</t>
        </is>
      </c>
      <c r="B786" s="41" t="n"/>
      <c r="C786" s="41" t="n"/>
      <c r="D786" s="41" t="n"/>
    </row>
    <row r="787">
      <c r="A787" s="41" t="inlineStr">
        <is>
          <t>カラム</t>
        </is>
      </c>
      <c r="B787" s="41" t="inlineStr">
        <is>
          <t>型</t>
        </is>
      </c>
      <c r="C787" s="41" t="inlineStr">
        <is>
          <t>説明</t>
        </is>
      </c>
      <c r="D787" s="41" t="inlineStr">
        <is>
          <t>必須</t>
        </is>
      </c>
    </row>
    <row r="788">
      <c r="A788" s="41" t="inlineStr">
        <is>
          <t>id</t>
        </is>
      </c>
      <c r="B788" s="41" t="inlineStr">
        <is>
          <t>uuid PK</t>
        </is>
      </c>
      <c r="C788" s="41" t="inlineStr"/>
      <c r="D788" s="41" t="n"/>
    </row>
    <row r="789">
      <c r="A789" s="41" t="inlineStr">
        <is>
          <t>case_id</t>
        </is>
      </c>
      <c r="B789" s="41" t="inlineStr">
        <is>
          <t>text</t>
        </is>
      </c>
      <c r="C789" s="41" t="inlineStr"/>
      <c r="D789" s="41" t="n"/>
    </row>
    <row r="790">
      <c r="A790" s="41" t="inlineStr">
        <is>
          <t>scope</t>
        </is>
      </c>
      <c r="B790" s="41" t="inlineStr">
        <is>
          <t>jsonb</t>
        </is>
      </c>
      <c r="C790" s="41" t="inlineStr">
        <is>
          <t>期間/対象</t>
        </is>
      </c>
      <c r="D790" s="41" t="inlineStr">
        <is>
          <t>必須</t>
        </is>
      </c>
    </row>
    <row r="791">
      <c r="A791" s="41" t="inlineStr">
        <is>
          <t>requested_by</t>
        </is>
      </c>
      <c r="B791" s="41" t="inlineStr">
        <is>
          <t>text</t>
        </is>
      </c>
      <c r="C791" s="41" t="inlineStr"/>
      <c r="D791" s="41" t="n"/>
    </row>
    <row r="792">
      <c r="A792" s="41" t="inlineStr">
        <is>
          <t>custodian</t>
        </is>
      </c>
      <c r="B792" s="41" t="inlineStr">
        <is>
          <t>uuid REFERENCES users(id)</t>
        </is>
      </c>
      <c r="C792" s="41" t="inlineStr"/>
      <c r="D792" s="41" t="n"/>
    </row>
    <row r="793">
      <c r="A793" s="41" t="inlineStr">
        <is>
          <t>chain_of_custody</t>
        </is>
      </c>
      <c r="B793" s="41" t="inlineStr">
        <is>
          <t>jsonb</t>
        </is>
      </c>
      <c r="C793" s="41" t="inlineStr"/>
      <c r="D793" s="41" t="n"/>
    </row>
    <row r="794">
      <c r="A794" s="41" t="inlineStr">
        <is>
          <t>export_url</t>
        </is>
      </c>
      <c r="B794" s="41" t="inlineStr">
        <is>
          <t>text</t>
        </is>
      </c>
      <c r="C794" s="41" t="inlineStr"/>
      <c r="D794" s="41" t="n"/>
    </row>
    <row r="795">
      <c r="A795" s="41" t="inlineStr">
        <is>
          <t>status</t>
        </is>
      </c>
      <c r="B795" s="41" t="inlineStr">
        <is>
          <t>text</t>
        </is>
      </c>
      <c r="C795" s="41" t="inlineStr"/>
      <c r="D795" s="41" t="n"/>
    </row>
    <row r="796">
      <c r="A796" s="41" t="inlineStr">
        <is>
          <t>created_at</t>
        </is>
      </c>
      <c r="B796" s="41" t="inlineStr">
        <is>
          <t>timestamptz DEFAULT now()</t>
        </is>
      </c>
      <c r="C796" s="41" t="inlineStr"/>
      <c r="D796" s="41" t="n"/>
    </row>
    <row r="797">
      <c r="A797" s="41" t="n"/>
      <c r="B797" s="41" t="n"/>
      <c r="C797" s="41" t="n"/>
      <c r="D797" s="41" t="n"/>
    </row>
    <row r="798">
      <c r="A798" s="41" t="inlineStr">
        <is>
          <t>▼ data_residency_config</t>
        </is>
      </c>
      <c r="B798" s="41" t="n"/>
      <c r="C798" s="41" t="n"/>
      <c r="D798" s="41" t="n"/>
    </row>
    <row r="799">
      <c r="A799" s="41" t="inlineStr">
        <is>
          <t>カラム</t>
        </is>
      </c>
      <c r="B799" s="41" t="inlineStr">
        <is>
          <t>型</t>
        </is>
      </c>
      <c r="C799" s="41" t="inlineStr">
        <is>
          <t>説明</t>
        </is>
      </c>
      <c r="D799" s="41" t="inlineStr">
        <is>
          <t>必須</t>
        </is>
      </c>
    </row>
    <row r="800">
      <c r="A800" s="41" t="inlineStr">
        <is>
          <t>org_id</t>
        </is>
      </c>
      <c r="B800" s="41" t="inlineStr">
        <is>
          <t>uuid PK</t>
        </is>
      </c>
      <c r="C800" s="41" t="inlineStr"/>
      <c r="D800" s="41" t="n"/>
    </row>
    <row r="801">
      <c r="A801" s="41" t="inlineStr">
        <is>
          <t>region</t>
        </is>
      </c>
      <c r="B801" s="41" t="inlineStr">
        <is>
          <t>text</t>
        </is>
      </c>
      <c r="C801" s="41" t="inlineStr">
        <is>
          <t>ap-northeast-1</t>
        </is>
      </c>
      <c r="D801" s="41" t="inlineStr">
        <is>
          <t>必須</t>
        </is>
      </c>
    </row>
    <row r="802">
      <c r="A802" s="41" t="inlineStr">
        <is>
          <t>r2_bucket</t>
        </is>
      </c>
      <c r="B802" s="41" t="inlineStr">
        <is>
          <t>text</t>
        </is>
      </c>
      <c r="C802" s="41" t="inlineStr">
        <is>
          <t>tokyo-bucket</t>
        </is>
      </c>
      <c r="D802" s="41" t="inlineStr">
        <is>
          <t>必須</t>
        </is>
      </c>
    </row>
    <row r="803">
      <c r="A803" s="41" t="inlineStr">
        <is>
          <t>enforced</t>
        </is>
      </c>
      <c r="B803" s="41" t="inlineStr">
        <is>
          <t>boolean DEFAULT true</t>
        </is>
      </c>
      <c r="C803" s="41" t="inlineStr"/>
      <c r="D803" s="41" t="n"/>
    </row>
    <row r="804">
      <c r="A804" s="41" t="n"/>
      <c r="B804" s="41" t="n"/>
      <c r="C804" s="41" t="n"/>
      <c r="D804" s="41" t="n"/>
    </row>
    <row r="805">
      <c r="A805" s="41" t="inlineStr">
        <is>
          <t>▼ recent_views</t>
        </is>
      </c>
      <c r="B805" s="41" t="n"/>
      <c r="C805" s="41" t="n"/>
      <c r="D805" s="41" t="n"/>
    </row>
    <row r="806">
      <c r="A806" s="41" t="inlineStr">
        <is>
          <t>カラム</t>
        </is>
      </c>
      <c r="B806" s="41" t="inlineStr">
        <is>
          <t>型</t>
        </is>
      </c>
      <c r="C806" s="41" t="inlineStr">
        <is>
          <t>説明</t>
        </is>
      </c>
      <c r="D806" s="41" t="inlineStr">
        <is>
          <t>必須</t>
        </is>
      </c>
    </row>
    <row r="807">
      <c r="A807" s="41" t="inlineStr">
        <is>
          <t>id</t>
        </is>
      </c>
      <c r="B807" s="41" t="inlineStr">
        <is>
          <t>uuid PK</t>
        </is>
      </c>
      <c r="C807" s="41" t="inlineStr"/>
      <c r="D807" s="41" t="n"/>
    </row>
    <row r="808">
      <c r="A808" s="41" t="inlineStr">
        <is>
          <t>user_id</t>
        </is>
      </c>
      <c r="B808" s="41" t="inlineStr">
        <is>
          <t>uuid REFERENCES users(id) ON DELETE CASCADE</t>
        </is>
      </c>
      <c r="C808" s="41" t="inlineStr"/>
      <c r="D808" s="41" t="n"/>
    </row>
    <row r="809">
      <c r="A809" s="41" t="inlineStr">
        <is>
          <t>resource_kind</t>
        </is>
      </c>
      <c r="B809" s="41" t="inlineStr">
        <is>
          <t>text</t>
        </is>
      </c>
      <c r="C809" s="41" t="inlineStr">
        <is>
          <t>meeting|contact|recording|knowledge</t>
        </is>
      </c>
      <c r="D809" s="41" t="inlineStr">
        <is>
          <t>必須</t>
        </is>
      </c>
    </row>
    <row r="810">
      <c r="A810" s="41" t="inlineStr">
        <is>
          <t>resource_id</t>
        </is>
      </c>
      <c r="B810" s="41" t="inlineStr">
        <is>
          <t>uuid</t>
        </is>
      </c>
      <c r="C810" s="41" t="inlineStr"/>
      <c r="D810" s="41" t="n"/>
    </row>
    <row r="811">
      <c r="A811" s="41" t="inlineStr">
        <is>
          <t>viewed_at</t>
        </is>
      </c>
      <c r="B811" s="41" t="inlineStr">
        <is>
          <t>timestamptz DEFAULT now()</t>
        </is>
      </c>
      <c r="C811" s="41" t="inlineStr"/>
      <c r="D811" s="41" t="n"/>
    </row>
    <row r="812">
      <c r="A812" s="41" t="inlineStr">
        <is>
          <t>INDEX</t>
        </is>
      </c>
      <c r="B812" s="41" t="inlineStr">
        <is>
          <t>(user_id, viewed_at DESC)</t>
        </is>
      </c>
      <c r="C812" s="41" t="inlineStr"/>
      <c r="D812" s="41" t="n"/>
    </row>
    <row r="813">
      <c r="A813" s="41" t="n"/>
      <c r="B813" s="41" t="n"/>
      <c r="C813" s="41" t="n"/>
      <c r="D813" s="41" t="n"/>
    </row>
    <row r="814">
      <c r="A814" s="41" t="inlineStr">
        <is>
          <t>▼ knowledge_deprecations</t>
        </is>
      </c>
      <c r="B814" s="41" t="n"/>
      <c r="C814" s="41" t="n"/>
      <c r="D814" s="41" t="n"/>
    </row>
    <row r="815">
      <c r="A815" s="41" t="inlineStr">
        <is>
          <t>カラム</t>
        </is>
      </c>
      <c r="B815" s="41" t="inlineStr">
        <is>
          <t>型</t>
        </is>
      </c>
      <c r="C815" s="41" t="inlineStr">
        <is>
          <t>説明</t>
        </is>
      </c>
      <c r="D815" s="41" t="inlineStr">
        <is>
          <t>必須</t>
        </is>
      </c>
    </row>
    <row r="816">
      <c r="A816" s="41" t="inlineStr">
        <is>
          <t>knowledge_item_id</t>
        </is>
      </c>
      <c r="B816" s="41" t="inlineStr">
        <is>
          <t>uuid PK REFERENCES knowledge_items(id) ON DELETE CASCADE</t>
        </is>
      </c>
      <c r="C816" s="41" t="inlineStr"/>
      <c r="D816" s="41" t="n"/>
    </row>
    <row r="817">
      <c r="A817" s="41" t="inlineStr">
        <is>
          <t>deprecated_at</t>
        </is>
      </c>
      <c r="B817" s="41" t="inlineStr">
        <is>
          <t>timestamptz</t>
        </is>
      </c>
      <c r="C817" s="41" t="inlineStr"/>
      <c r="D817" s="41" t="n"/>
    </row>
    <row r="818">
      <c r="A818" s="41" t="inlineStr">
        <is>
          <t>replaced_by</t>
        </is>
      </c>
      <c r="B818" s="41" t="inlineStr">
        <is>
          <t>uuid</t>
        </is>
      </c>
      <c r="C818" s="41" t="inlineStr"/>
      <c r="D818" s="41" t="n"/>
    </row>
    <row r="819">
      <c r="A819" s="41" t="inlineStr">
        <is>
          <t>reason</t>
        </is>
      </c>
      <c r="B819" s="41" t="inlineStr">
        <is>
          <t>text</t>
        </is>
      </c>
      <c r="C819" s="41" t="inlineStr"/>
      <c r="D819" s="41" t="n"/>
    </row>
    <row r="820">
      <c r="A820" s="41" t="n"/>
      <c r="B820" s="41" t="n"/>
      <c r="C820" s="41" t="n"/>
      <c r="D820" s="41" t="n"/>
    </row>
    <row r="821">
      <c r="A821" s="41" t="inlineStr">
        <is>
          <t>▼ chat_citations</t>
        </is>
      </c>
      <c r="B821" s="41" t="n"/>
      <c r="C821" s="41" t="n"/>
      <c r="D821" s="41" t="n"/>
    </row>
    <row r="822">
      <c r="A822" s="41" t="inlineStr">
        <is>
          <t>カラム</t>
        </is>
      </c>
      <c r="B822" s="41" t="inlineStr">
        <is>
          <t>型</t>
        </is>
      </c>
      <c r="C822" s="41" t="inlineStr">
        <is>
          <t>説明</t>
        </is>
      </c>
      <c r="D822" s="41" t="inlineStr">
        <is>
          <t>必須</t>
        </is>
      </c>
    </row>
    <row r="823">
      <c r="A823" s="41" t="inlineStr">
        <is>
          <t>id</t>
        </is>
      </c>
      <c r="B823" s="41" t="inlineStr">
        <is>
          <t>uuid PK</t>
        </is>
      </c>
      <c r="C823" s="41" t="inlineStr"/>
      <c r="D823" s="41" t="n"/>
    </row>
    <row r="824">
      <c r="A824" s="41" t="inlineStr">
        <is>
          <t>conversation_id</t>
        </is>
      </c>
      <c r="B824" s="41" t="inlineStr">
        <is>
          <t>uuid</t>
        </is>
      </c>
      <c r="C824" s="41" t="inlineStr"/>
      <c r="D824" s="41" t="n"/>
    </row>
    <row r="825">
      <c r="A825" s="41" t="inlineStr">
        <is>
          <t>assistant_message_id</t>
        </is>
      </c>
      <c r="B825" s="41" t="inlineStr">
        <is>
          <t>uuid</t>
        </is>
      </c>
      <c r="C825" s="41" t="inlineStr"/>
      <c r="D825" s="41" t="n"/>
    </row>
    <row r="826">
      <c r="A826" s="41" t="inlineStr">
        <is>
          <t>source_kind</t>
        </is>
      </c>
      <c r="B826" s="41" t="inlineStr">
        <is>
          <t>text</t>
        </is>
      </c>
      <c r="C826" s="41" t="inlineStr">
        <is>
          <t>recording_segment|knowledge_item</t>
        </is>
      </c>
      <c r="D826" s="41" t="inlineStr">
        <is>
          <t>必須</t>
        </is>
      </c>
    </row>
    <row r="827">
      <c r="A827" s="41" t="inlineStr">
        <is>
          <t>source_id</t>
        </is>
      </c>
      <c r="B827" s="41" t="inlineStr">
        <is>
          <t>uuid</t>
        </is>
      </c>
      <c r="C827" s="41" t="inlineStr"/>
      <c r="D827" s="41" t="n"/>
    </row>
    <row r="828">
      <c r="A828" s="41" t="inlineStr">
        <is>
          <t>snippet</t>
        </is>
      </c>
      <c r="B828" s="41" t="inlineStr">
        <is>
          <t>text</t>
        </is>
      </c>
      <c r="C828" s="41" t="inlineStr"/>
      <c r="D828" s="41" t="n"/>
    </row>
    <row r="829">
      <c r="A829" s="41" t="inlineStr">
        <is>
          <t>UNIQUE</t>
        </is>
      </c>
      <c r="B829" s="41" t="inlineStr">
        <is>
          <t>(assistant_message_id, source_id)</t>
        </is>
      </c>
      <c r="C829" s="41" t="inlineStr"/>
      <c r="D829" s="41" t="n"/>
    </row>
    <row r="830">
      <c r="A830" s="41" t="n"/>
      <c r="B830" s="41" t="n"/>
      <c r="C830" s="41" t="n"/>
      <c r="D830" s="41" t="n"/>
    </row>
    <row r="831">
      <c r="A831" s="41" t="inlineStr">
        <is>
          <t>▼ push_subscriptions</t>
        </is>
      </c>
      <c r="B831" s="41" t="n"/>
      <c r="C831" s="41" t="n"/>
      <c r="D831" s="41" t="n"/>
    </row>
    <row r="832">
      <c r="A832" s="41" t="inlineStr">
        <is>
          <t>カラム</t>
        </is>
      </c>
      <c r="B832" s="41" t="inlineStr">
        <is>
          <t>型</t>
        </is>
      </c>
      <c r="C832" s="41" t="inlineStr">
        <is>
          <t>説明</t>
        </is>
      </c>
      <c r="D832" s="41" t="inlineStr">
        <is>
          <t>必須</t>
        </is>
      </c>
    </row>
    <row r="833">
      <c r="A833" s="41" t="inlineStr">
        <is>
          <t>id</t>
        </is>
      </c>
      <c r="B833" s="41" t="inlineStr">
        <is>
          <t>uuid PK</t>
        </is>
      </c>
      <c r="C833" s="41" t="inlineStr"/>
      <c r="D833" s="41" t="n"/>
    </row>
    <row r="834">
      <c r="A834" s="41" t="inlineStr">
        <is>
          <t>user_id</t>
        </is>
      </c>
      <c r="B834" s="41" t="inlineStr">
        <is>
          <t>uuid REFERENCES users(id) ON DELETE CASCADE</t>
        </is>
      </c>
      <c r="C834" s="41" t="inlineStr"/>
      <c r="D834" s="41" t="n"/>
    </row>
    <row r="835">
      <c r="A835" s="41" t="inlineStr">
        <is>
          <t>endpoint</t>
        </is>
      </c>
      <c r="B835" s="41" t="inlineStr">
        <is>
          <t>text UNIQUE</t>
        </is>
      </c>
      <c r="C835" s="41" t="inlineStr"/>
      <c r="D835" s="41" t="n"/>
    </row>
    <row r="836">
      <c r="A836" s="41" t="inlineStr">
        <is>
          <t>p256dh</t>
        </is>
      </c>
      <c r="B836" s="41" t="inlineStr">
        <is>
          <t>text</t>
        </is>
      </c>
      <c r="C836" s="41" t="inlineStr"/>
      <c r="D836" s="41" t="n"/>
    </row>
    <row r="837">
      <c r="A837" s="41" t="inlineStr">
        <is>
          <t>auth</t>
        </is>
      </c>
      <c r="B837" s="41" t="inlineStr">
        <is>
          <t>text</t>
        </is>
      </c>
      <c r="C837" s="41" t="inlineStr"/>
      <c r="D837" s="41" t="n"/>
    </row>
    <row r="838">
      <c r="A838" s="41" t="inlineStr">
        <is>
          <t>user_agent</t>
        </is>
      </c>
      <c r="B838" s="41" t="inlineStr">
        <is>
          <t>text</t>
        </is>
      </c>
      <c r="C838" s="41" t="inlineStr"/>
      <c r="D838" s="41" t="n"/>
    </row>
    <row r="839">
      <c r="A839" s="41" t="inlineStr">
        <is>
          <t>created_at</t>
        </is>
      </c>
      <c r="B839" s="41" t="inlineStr">
        <is>
          <t>timestamptz DEFAULT now()</t>
        </is>
      </c>
      <c r="C839" s="41" t="inlineStr"/>
      <c r="D839" s="41" t="n"/>
    </row>
    <row r="840">
      <c r="A840" s="41" t="n"/>
      <c r="B840" s="41" t="n"/>
      <c r="C840" s="41" t="n"/>
      <c r="D840" s="41" t="n"/>
    </row>
    <row r="841">
      <c r="A841" s="41" t="inlineStr">
        <is>
          <t>▼ voice_memos</t>
        </is>
      </c>
      <c r="B841" s="41" t="n"/>
      <c r="C841" s="41" t="n"/>
      <c r="D841" s="41" t="n"/>
    </row>
    <row r="842">
      <c r="A842" s="41" t="inlineStr">
        <is>
          <t>カラム</t>
        </is>
      </c>
      <c r="B842" s="41" t="inlineStr">
        <is>
          <t>型</t>
        </is>
      </c>
      <c r="C842" s="41" t="inlineStr">
        <is>
          <t>説明</t>
        </is>
      </c>
      <c r="D842" s="41" t="inlineStr">
        <is>
          <t>必須</t>
        </is>
      </c>
    </row>
    <row r="843">
      <c r="A843" s="41" t="inlineStr">
        <is>
          <t>id</t>
        </is>
      </c>
      <c r="B843" s="41" t="inlineStr">
        <is>
          <t>uuid PK</t>
        </is>
      </c>
      <c r="C843" s="41" t="inlineStr"/>
      <c r="D843" s="41" t="n"/>
    </row>
    <row r="844">
      <c r="A844" s="41" t="inlineStr">
        <is>
          <t>user_id</t>
        </is>
      </c>
      <c r="B844" s="41" t="inlineStr">
        <is>
          <t>uuid REFERENCES users(id)</t>
        </is>
      </c>
      <c r="C844" s="41" t="inlineStr"/>
      <c r="D844" s="41" t="n"/>
    </row>
    <row r="845">
      <c r="A845" s="41" t="inlineStr">
        <is>
          <t>meeting_id</t>
        </is>
      </c>
      <c r="B845" s="41" t="inlineStr">
        <is>
          <t>uuid</t>
        </is>
      </c>
      <c r="C845" s="41" t="inlineStr">
        <is>
          <t>紐付け先</t>
        </is>
      </c>
      <c r="D845" s="41" t="inlineStr">
        <is>
          <t>任意</t>
        </is>
      </c>
    </row>
    <row r="846">
      <c r="A846" s="41" t="inlineStr">
        <is>
          <t>audio_storage_url</t>
        </is>
      </c>
      <c r="B846" s="41" t="inlineStr">
        <is>
          <t>text</t>
        </is>
      </c>
      <c r="C846" s="41" t="inlineStr"/>
      <c r="D846" s="41" t="n"/>
    </row>
    <row r="847">
      <c r="A847" s="41" t="inlineStr">
        <is>
          <t>transcript</t>
        </is>
      </c>
      <c r="B847" s="41" t="inlineStr">
        <is>
          <t>text</t>
        </is>
      </c>
      <c r="C847" s="41" t="inlineStr"/>
      <c r="D847" s="41" t="n"/>
    </row>
    <row r="848">
      <c r="A848" s="41" t="inlineStr">
        <is>
          <t>duration_sec</t>
        </is>
      </c>
      <c r="B848" s="41" t="inlineStr">
        <is>
          <t>int</t>
        </is>
      </c>
      <c r="C848" s="41" t="inlineStr">
        <is>
          <t>≤60</t>
        </is>
      </c>
      <c r="D848" s="41" t="inlineStr">
        <is>
          <t>必須</t>
        </is>
      </c>
    </row>
    <row r="849">
      <c r="A849" s="41" t="inlineStr">
        <is>
          <t>created_at</t>
        </is>
      </c>
      <c r="B849" s="41" t="inlineStr">
        <is>
          <t>timestamptz DEFAULT now()</t>
        </is>
      </c>
      <c r="C849" s="41" t="inlineStr"/>
      <c r="D849" s="41" t="n"/>
    </row>
    <row r="850">
      <c r="A850" s="41" t="n"/>
      <c r="B850" s="41" t="n"/>
      <c r="C850" s="41" t="n"/>
      <c r="D850" s="41" t="n"/>
    </row>
    <row r="851">
      <c r="A851" s="41" t="inlineStr">
        <is>
          <t>▼ data_exports</t>
        </is>
      </c>
      <c r="B851" s="41" t="n"/>
      <c r="C851" s="41" t="n"/>
      <c r="D851" s="41" t="n"/>
    </row>
    <row r="852">
      <c r="A852" s="41" t="inlineStr">
        <is>
          <t>カラム</t>
        </is>
      </c>
      <c r="B852" s="41" t="inlineStr">
        <is>
          <t>型</t>
        </is>
      </c>
      <c r="C852" s="41" t="inlineStr">
        <is>
          <t>説明</t>
        </is>
      </c>
      <c r="D852" s="41" t="inlineStr">
        <is>
          <t>必須</t>
        </is>
      </c>
    </row>
    <row r="853">
      <c r="A853" s="41" t="inlineStr">
        <is>
          <t>id</t>
        </is>
      </c>
      <c r="B853" s="41" t="inlineStr">
        <is>
          <t>uuid PK</t>
        </is>
      </c>
      <c r="C853" s="41" t="inlineStr"/>
      <c r="D853" s="41" t="n"/>
    </row>
    <row r="854">
      <c r="A854" s="41" t="inlineStr">
        <is>
          <t>user_id</t>
        </is>
      </c>
      <c r="B854" s="41" t="inlineStr">
        <is>
          <t>uuid REFERENCES users(id)</t>
        </is>
      </c>
      <c r="C854" s="41" t="inlineStr"/>
      <c r="D854" s="41" t="n"/>
    </row>
    <row r="855">
      <c r="A855" s="41" t="inlineStr">
        <is>
          <t>scope</t>
        </is>
      </c>
      <c r="B855" s="41" t="inlineStr">
        <is>
          <t>text</t>
        </is>
      </c>
      <c r="C855" s="41" t="inlineStr">
        <is>
          <t>personal|legal</t>
        </is>
      </c>
      <c r="D855" s="41" t="inlineStr">
        <is>
          <t>必須</t>
        </is>
      </c>
    </row>
    <row r="856">
      <c r="A856" s="41" t="inlineStr">
        <is>
          <t>status</t>
        </is>
      </c>
      <c r="B856" s="41" t="inlineStr">
        <is>
          <t>text</t>
        </is>
      </c>
      <c r="C856" s="41" t="inlineStr">
        <is>
          <t>queued|running|done|failed</t>
        </is>
      </c>
      <c r="D856" s="41" t="inlineStr">
        <is>
          <t>必須</t>
        </is>
      </c>
    </row>
    <row r="857">
      <c r="A857" s="41" t="inlineStr">
        <is>
          <t>export_url</t>
        </is>
      </c>
      <c r="B857" s="41" t="inlineStr">
        <is>
          <t>text</t>
        </is>
      </c>
      <c r="C857" s="41" t="inlineStr"/>
      <c r="D857" s="41" t="n"/>
    </row>
    <row r="858">
      <c r="A858" s="41" t="inlineStr">
        <is>
          <t>expires_at</t>
        </is>
      </c>
      <c r="B858" s="41" t="inlineStr">
        <is>
          <t>timestamptz</t>
        </is>
      </c>
      <c r="C858" s="41" t="inlineStr"/>
      <c r="D858" s="41" t="n"/>
    </row>
    <row r="859">
      <c r="A859" s="41" t="inlineStr">
        <is>
          <t>created_at</t>
        </is>
      </c>
      <c r="B859" s="41" t="inlineStr">
        <is>
          <t>timestamptz DEFAULT now()</t>
        </is>
      </c>
      <c r="C859" s="41" t="inlineStr"/>
      <c r="D859" s="41" t="n"/>
    </row>
    <row r="860">
      <c r="A860" s="41" t="n"/>
      <c r="B860" s="41" t="n"/>
      <c r="C860" s="41" t="n"/>
      <c r="D860" s="41" t="n"/>
    </row>
    <row r="861">
      <c r="A861" s="41" t="inlineStr">
        <is>
          <t>▼ backup_status</t>
        </is>
      </c>
      <c r="B861" s="41" t="n"/>
      <c r="C861" s="41" t="n"/>
      <c r="D861" s="41" t="n"/>
    </row>
    <row r="862">
      <c r="A862" s="41" t="inlineStr">
        <is>
          <t>カラム</t>
        </is>
      </c>
      <c r="B862" s="41" t="inlineStr">
        <is>
          <t>型</t>
        </is>
      </c>
      <c r="C862" s="41" t="inlineStr">
        <is>
          <t>説明</t>
        </is>
      </c>
      <c r="D862" s="41" t="inlineStr">
        <is>
          <t>必須</t>
        </is>
      </c>
    </row>
    <row r="863">
      <c r="A863" s="41" t="inlineStr">
        <is>
          <t>id</t>
        </is>
      </c>
      <c r="B863" s="41" t="inlineStr">
        <is>
          <t>uuid PK</t>
        </is>
      </c>
      <c r="C863" s="41" t="inlineStr"/>
      <c r="D863" s="41" t="n"/>
    </row>
    <row r="864">
      <c r="A864" s="41" t="inlineStr">
        <is>
          <t>org_id</t>
        </is>
      </c>
      <c r="B864" s="41" t="inlineStr">
        <is>
          <t>uuid</t>
        </is>
      </c>
      <c r="C864" s="41" t="inlineStr"/>
      <c r="D864" s="41" t="n"/>
    </row>
    <row r="865">
      <c r="A865" s="41" t="inlineStr">
        <is>
          <t>last_pitr_at</t>
        </is>
      </c>
      <c r="B865" s="41" t="inlineStr">
        <is>
          <t>timestamptz</t>
        </is>
      </c>
      <c r="C865" s="41" t="inlineStr"/>
      <c r="D865" s="41" t="n"/>
    </row>
    <row r="866">
      <c r="A866" s="41" t="inlineStr">
        <is>
          <t>pitr_window_days</t>
        </is>
      </c>
      <c r="B866" s="41" t="inlineStr">
        <is>
          <t>int DEFAULT 7</t>
        </is>
      </c>
      <c r="C866" s="41" t="inlineStr"/>
      <c r="D866" s="41" t="n"/>
    </row>
    <row r="867">
      <c r="A867" s="41" t="inlineStr">
        <is>
          <t>last_snapshot_at</t>
        </is>
      </c>
      <c r="B867" s="41" t="inlineStr">
        <is>
          <t>timestamptz</t>
        </is>
      </c>
      <c r="C867" s="41" t="inlineStr"/>
      <c r="D867" s="41" t="n"/>
    </row>
    <row r="868">
      <c r="A868" s="41" t="inlineStr">
        <is>
          <t>snapshot_storage_url</t>
        </is>
      </c>
      <c r="B868" s="41" t="inlineStr">
        <is>
          <t>text</t>
        </is>
      </c>
      <c r="C868" s="41" t="inlineStr"/>
      <c r="D868" s="41" t="n"/>
    </row>
    <row r="869">
      <c r="A869" s="41" t="n"/>
      <c r="B869" s="41" t="n"/>
      <c r="C869" s="41" t="n"/>
      <c r="D869" s="41" t="n"/>
    </row>
    <row r="870">
      <c r="A870" s="41" t="inlineStr">
        <is>
          <t>▼ feature_flags</t>
        </is>
      </c>
      <c r="B870" s="41" t="n"/>
      <c r="C870" s="41" t="n"/>
      <c r="D870" s="41" t="n"/>
    </row>
    <row r="871">
      <c r="A871" s="41" t="inlineStr">
        <is>
          <t>カラム</t>
        </is>
      </c>
      <c r="B871" s="41" t="inlineStr">
        <is>
          <t>型</t>
        </is>
      </c>
      <c r="C871" s="41" t="inlineStr">
        <is>
          <t>説明</t>
        </is>
      </c>
      <c r="D871" s="41" t="inlineStr">
        <is>
          <t>必須</t>
        </is>
      </c>
    </row>
    <row r="872">
      <c r="A872" s="41" t="inlineStr">
        <is>
          <t>key</t>
        </is>
      </c>
      <c r="B872" s="41" t="inlineStr">
        <is>
          <t>text PK</t>
        </is>
      </c>
      <c r="C872" s="41" t="inlineStr"/>
      <c r="D872" s="41" t="n"/>
    </row>
    <row r="873">
      <c r="A873" s="41" t="inlineStr">
        <is>
          <t>enabled</t>
        </is>
      </c>
      <c r="B873" s="41" t="inlineStr">
        <is>
          <t>boolean DEFAULT false</t>
        </is>
      </c>
      <c r="C873" s="41" t="inlineStr"/>
      <c r="D873" s="41" t="n"/>
    </row>
    <row r="874">
      <c r="A874" s="41" t="inlineStr">
        <is>
          <t>percentage</t>
        </is>
      </c>
      <c r="B874" s="41" t="inlineStr">
        <is>
          <t>int CHECK (percentage BETWEEN 0 AND 100)</t>
        </is>
      </c>
      <c r="C874" s="41" t="inlineStr"/>
      <c r="D874" s="41" t="n"/>
    </row>
    <row r="875">
      <c r="A875" s="41" t="inlineStr">
        <is>
          <t>allowlist</t>
        </is>
      </c>
      <c r="B875" s="41" t="inlineStr">
        <is>
          <t>uuid[]</t>
        </is>
      </c>
      <c r="C875" s="41" t="inlineStr"/>
      <c r="D875" s="41" t="n"/>
    </row>
    <row r="876">
      <c r="A876" s="41" t="inlineStr">
        <is>
          <t>blocklist</t>
        </is>
      </c>
      <c r="B876" s="41" t="inlineStr">
        <is>
          <t>uuid[]</t>
        </is>
      </c>
      <c r="C876" s="41" t="inlineStr"/>
      <c r="D876" s="41" t="n"/>
    </row>
    <row r="877">
      <c r="A877" s="41" t="inlineStr">
        <is>
          <t>description</t>
        </is>
      </c>
      <c r="B877" s="41" t="inlineStr">
        <is>
          <t>text</t>
        </is>
      </c>
      <c r="C877" s="41" t="inlineStr"/>
      <c r="D877" s="41" t="n"/>
    </row>
    <row r="878">
      <c r="A878" s="41" t="inlineStr">
        <is>
          <t>updated_by</t>
        </is>
      </c>
      <c r="B878" s="41" t="inlineStr">
        <is>
          <t>uuid</t>
        </is>
      </c>
      <c r="C878" s="41" t="inlineStr"/>
      <c r="D878" s="41" t="n"/>
    </row>
    <row r="879">
      <c r="A879" s="41" t="inlineStr">
        <is>
          <t>updated_at</t>
        </is>
      </c>
      <c r="B879" s="41" t="inlineStr">
        <is>
          <t>timestamptz DEFAULT now()</t>
        </is>
      </c>
      <c r="C879" s="41" t="inlineStr"/>
      <c r="D879" s="41" t="n"/>
    </row>
    <row r="880">
      <c r="A880" s="41" t="n"/>
      <c r="B880" s="41" t="n"/>
      <c r="C880" s="41" t="n"/>
      <c r="D880" s="41" t="n"/>
    </row>
    <row r="881">
      <c r="A881" s="41" t="inlineStr">
        <is>
          <t>▼ ab_test_experiments</t>
        </is>
      </c>
      <c r="B881" s="41" t="n"/>
      <c r="C881" s="41" t="n"/>
      <c r="D881" s="41" t="n"/>
    </row>
    <row r="882">
      <c r="A882" s="41" t="inlineStr">
        <is>
          <t>カラム</t>
        </is>
      </c>
      <c r="B882" s="41" t="inlineStr">
        <is>
          <t>型</t>
        </is>
      </c>
      <c r="C882" s="41" t="inlineStr">
        <is>
          <t>説明</t>
        </is>
      </c>
      <c r="D882" s="41" t="inlineStr">
        <is>
          <t>必須</t>
        </is>
      </c>
    </row>
    <row r="883">
      <c r="A883" s="41" t="inlineStr">
        <is>
          <t>id</t>
        </is>
      </c>
      <c r="B883" s="41" t="inlineStr">
        <is>
          <t>uuid PK</t>
        </is>
      </c>
      <c r="C883" s="41" t="inlineStr"/>
      <c r="D883" s="41" t="n"/>
    </row>
    <row r="884">
      <c r="A884" s="41" t="inlineStr">
        <is>
          <t>name</t>
        </is>
      </c>
      <c r="B884" s="41" t="inlineStr">
        <is>
          <t>text</t>
        </is>
      </c>
      <c r="C884" s="41" t="inlineStr"/>
      <c r="D884" s="41" t="n"/>
    </row>
    <row r="885">
      <c r="A885" s="41" t="inlineStr">
        <is>
          <t>metric</t>
        </is>
      </c>
      <c r="B885" s="41" t="inlineStr">
        <is>
          <t>text</t>
        </is>
      </c>
      <c r="C885" s="41" t="inlineStr"/>
      <c r="D885" s="41" t="n"/>
    </row>
    <row r="886">
      <c r="A886" s="41" t="inlineStr">
        <is>
          <t>variants</t>
        </is>
      </c>
      <c r="B886" s="41" t="inlineStr">
        <is>
          <t>jsonb</t>
        </is>
      </c>
      <c r="C886" s="41" t="inlineStr"/>
      <c r="D886" s="41" t="n"/>
    </row>
    <row r="887">
      <c r="A887" s="41" t="inlineStr">
        <is>
          <t>status</t>
        </is>
      </c>
      <c r="B887" s="41" t="inlineStr">
        <is>
          <t>text</t>
        </is>
      </c>
      <c r="C887" s="41" t="inlineStr">
        <is>
          <t>draft|running|stopped</t>
        </is>
      </c>
      <c r="D887" s="41" t="inlineStr">
        <is>
          <t>必須</t>
        </is>
      </c>
    </row>
    <row r="888">
      <c r="A888" s="41" t="inlineStr">
        <is>
          <t>started_at</t>
        </is>
      </c>
      <c r="B888" s="41" t="inlineStr">
        <is>
          <t>timestamptz</t>
        </is>
      </c>
      <c r="C888" s="41" t="inlineStr"/>
      <c r="D888" s="41" t="n"/>
    </row>
    <row r="889">
      <c r="A889" s="41" t="inlineStr">
        <is>
          <t>ended_at</t>
        </is>
      </c>
      <c r="B889" s="41" t="inlineStr">
        <is>
          <t>timestamptz</t>
        </is>
      </c>
      <c r="C889" s="41" t="inlineStr"/>
      <c r="D889" s="41" t="n"/>
    </row>
    <row r="890">
      <c r="A890" s="41" t="n"/>
      <c r="B890" s="41" t="n"/>
      <c r="C890" s="41" t="n"/>
      <c r="D890" s="41" t="n"/>
    </row>
    <row r="891">
      <c r="A891" s="41" t="inlineStr">
        <is>
          <t>▼ ab_test_assignments</t>
        </is>
      </c>
      <c r="B891" s="41" t="n"/>
      <c r="C891" s="41" t="n"/>
      <c r="D891" s="41" t="n"/>
    </row>
    <row r="892">
      <c r="A892" s="41" t="inlineStr">
        <is>
          <t>カラム</t>
        </is>
      </c>
      <c r="B892" s="41" t="inlineStr">
        <is>
          <t>型</t>
        </is>
      </c>
      <c r="C892" s="41" t="inlineStr">
        <is>
          <t>説明</t>
        </is>
      </c>
      <c r="D892" s="41" t="inlineStr">
        <is>
          <t>必須</t>
        </is>
      </c>
    </row>
    <row r="893">
      <c r="A893" s="41" t="inlineStr">
        <is>
          <t>id</t>
        </is>
      </c>
      <c r="B893" s="41" t="inlineStr">
        <is>
          <t>uuid PK</t>
        </is>
      </c>
      <c r="C893" s="41" t="inlineStr"/>
      <c r="D893" s="41" t="n"/>
    </row>
    <row r="894">
      <c r="A894" s="41" t="inlineStr">
        <is>
          <t>experiment_id</t>
        </is>
      </c>
      <c r="B894" s="41" t="inlineStr">
        <is>
          <t>uuid REFERENCES ab_test_experiments(id) ON DELETE CASCADE</t>
        </is>
      </c>
      <c r="C894" s="41" t="inlineStr"/>
      <c r="D894" s="41" t="n"/>
    </row>
    <row r="895">
      <c r="A895" s="41" t="inlineStr">
        <is>
          <t>user_id</t>
        </is>
      </c>
      <c r="B895" s="41" t="inlineStr">
        <is>
          <t>uuid REFERENCES users(id)</t>
        </is>
      </c>
      <c r="C895" s="41" t="inlineStr"/>
      <c r="D895" s="41" t="n"/>
    </row>
    <row r="896">
      <c r="A896" s="41" t="inlineStr">
        <is>
          <t>variant</t>
        </is>
      </c>
      <c r="B896" s="41" t="inlineStr">
        <is>
          <t>text</t>
        </is>
      </c>
      <c r="C896" s="41" t="inlineStr"/>
      <c r="D896" s="41" t="n"/>
    </row>
    <row r="897">
      <c r="A897" s="41" t="inlineStr">
        <is>
          <t>assigned_at</t>
        </is>
      </c>
      <c r="B897" s="41" t="inlineStr">
        <is>
          <t>timestamptz DEFAULT now()</t>
        </is>
      </c>
      <c r="C897" s="41" t="inlineStr"/>
      <c r="D897" s="41" t="n"/>
    </row>
    <row r="898">
      <c r="A898" s="41" t="inlineStr">
        <is>
          <t>UNIQUE</t>
        </is>
      </c>
      <c r="B898" s="41" t="inlineStr">
        <is>
          <t>(experiment_id, user_id)</t>
        </is>
      </c>
      <c r="C898" s="41" t="inlineStr"/>
      <c r="D898" s="41" t="n"/>
    </row>
    <row r="899">
      <c r="A899" s="41" t="n"/>
      <c r="B899" s="41" t="n"/>
      <c r="C899" s="41" t="n"/>
      <c r="D899" s="41" t="n"/>
    </row>
    <row r="900">
      <c r="A900" s="41" t="inlineStr">
        <is>
          <t>▼ ab_test_metrics</t>
        </is>
      </c>
      <c r="B900" s="41" t="n"/>
      <c r="C900" s="41" t="n"/>
      <c r="D900" s="41" t="n"/>
    </row>
    <row r="901">
      <c r="A901" s="41" t="inlineStr">
        <is>
          <t>カラム</t>
        </is>
      </c>
      <c r="B901" s="41" t="inlineStr">
        <is>
          <t>型</t>
        </is>
      </c>
      <c r="C901" s="41" t="inlineStr">
        <is>
          <t>説明</t>
        </is>
      </c>
      <c r="D901" s="41" t="inlineStr">
        <is>
          <t>必須</t>
        </is>
      </c>
    </row>
    <row r="902">
      <c r="A902" s="41" t="inlineStr">
        <is>
          <t>id</t>
        </is>
      </c>
      <c r="B902" s="41" t="inlineStr">
        <is>
          <t>uuid PK</t>
        </is>
      </c>
      <c r="C902" s="41" t="inlineStr"/>
      <c r="D902" s="41" t="n"/>
    </row>
    <row r="903">
      <c r="A903" s="41" t="inlineStr">
        <is>
          <t>experiment_id</t>
        </is>
      </c>
      <c r="B903" s="41" t="inlineStr">
        <is>
          <t>uuid</t>
        </is>
      </c>
      <c r="C903" s="41" t="inlineStr"/>
      <c r="D903" s="41" t="n"/>
    </row>
    <row r="904">
      <c r="A904" s="41" t="inlineStr">
        <is>
          <t>user_id</t>
        </is>
      </c>
      <c r="B904" s="41" t="inlineStr">
        <is>
          <t>uuid</t>
        </is>
      </c>
      <c r="C904" s="41" t="inlineStr"/>
      <c r="D904" s="41" t="n"/>
    </row>
    <row r="905">
      <c r="A905" s="41" t="inlineStr">
        <is>
          <t>metric</t>
        </is>
      </c>
      <c r="B905" s="41" t="inlineStr">
        <is>
          <t>text</t>
        </is>
      </c>
      <c r="C905" s="41" t="inlineStr"/>
      <c r="D905" s="41" t="n"/>
    </row>
    <row r="906">
      <c r="A906" s="41" t="inlineStr">
        <is>
          <t>value</t>
        </is>
      </c>
      <c r="B906" s="41" t="inlineStr">
        <is>
          <t>numeric</t>
        </is>
      </c>
      <c r="C906" s="41" t="inlineStr"/>
      <c r="D906" s="41" t="n"/>
    </row>
    <row r="907">
      <c r="A907" s="41" t="inlineStr">
        <is>
          <t>recorded_at</t>
        </is>
      </c>
      <c r="B907" s="41" t="inlineStr">
        <is>
          <t>timestamptz DEFAULT now()</t>
        </is>
      </c>
      <c r="C907" s="41" t="inlineStr"/>
      <c r="D907" s="41" t="n"/>
    </row>
    <row r="908">
      <c r="A908" s="41" t="n"/>
      <c r="B908" s="41" t="n"/>
      <c r="C908" s="41" t="n"/>
      <c r="D908" s="41" t="n"/>
    </row>
    <row r="909">
      <c r="A909" s="41" t="inlineStr">
        <is>
          <t>▼ optimistic_lock_versions</t>
        </is>
      </c>
      <c r="B909" s="41" t="n"/>
      <c r="C909" s="41" t="n"/>
      <c r="D909" s="41" t="n"/>
    </row>
    <row r="910">
      <c r="A910" s="41" t="inlineStr">
        <is>
          <t>カラム</t>
        </is>
      </c>
      <c r="B910" s="41" t="inlineStr">
        <is>
          <t>型</t>
        </is>
      </c>
      <c r="C910" s="41" t="inlineStr">
        <is>
          <t>説明</t>
        </is>
      </c>
      <c r="D910" s="41" t="inlineStr">
        <is>
          <t>必須</t>
        </is>
      </c>
    </row>
    <row r="911">
      <c r="A911" s="41" t="inlineStr">
        <is>
          <t>resource_kind</t>
        </is>
      </c>
      <c r="B911" s="41" t="inlineStr">
        <is>
          <t>text</t>
        </is>
      </c>
      <c r="C911" s="41" t="inlineStr"/>
      <c r="D911" s="41" t="n"/>
    </row>
    <row r="912">
      <c r="A912" s="41" t="inlineStr">
        <is>
          <t>resource_id</t>
        </is>
      </c>
      <c r="B912" s="41" t="inlineStr">
        <is>
          <t>uuid</t>
        </is>
      </c>
      <c r="C912" s="41" t="inlineStr"/>
      <c r="D912" s="41" t="n"/>
    </row>
    <row r="913">
      <c r="A913" s="41" t="inlineStr">
        <is>
          <t>version</t>
        </is>
      </c>
      <c r="B913" s="41" t="inlineStr">
        <is>
          <t>int</t>
        </is>
      </c>
      <c r="C913" s="41" t="inlineStr"/>
      <c r="D913" s="41" t="n"/>
    </row>
    <row r="914">
      <c r="A914" s="41" t="inlineStr">
        <is>
          <t>updated_by</t>
        </is>
      </c>
      <c r="B914" s="41" t="inlineStr">
        <is>
          <t>uuid</t>
        </is>
      </c>
      <c r="C914" s="41" t="inlineStr"/>
      <c r="D914" s="41" t="n"/>
    </row>
    <row r="915">
      <c r="A915" s="41" t="inlineStr">
        <is>
          <t>updated_at</t>
        </is>
      </c>
      <c r="B915" s="41" t="inlineStr">
        <is>
          <t>timestamptz</t>
        </is>
      </c>
      <c r="C915" s="41" t="inlineStr"/>
      <c r="D915" s="41" t="n"/>
    </row>
    <row r="916">
      <c r="A916" s="41" t="inlineStr">
        <is>
          <t>PRIMARY KEY</t>
        </is>
      </c>
      <c r="B916" s="41" t="inlineStr">
        <is>
          <t>(resource_kind, resource_id)</t>
        </is>
      </c>
      <c r="C916" s="41" t="inlineStr"/>
      <c r="D916" s="41" t="n"/>
    </row>
    <row r="917">
      <c r="A917" s="41" t="n"/>
      <c r="B917" s="41" t="n"/>
      <c r="C917" s="41" t="n"/>
      <c r="D917" s="41" t="n"/>
    </row>
    <row r="919">
      <c r="A919" s="41" t="inlineStr">
        <is>
          <t>■ Round1指摘反映で追加・改修テーブル(v2.1)</t>
        </is>
      </c>
      <c r="B919" s="41" t="n"/>
      <c r="C919" s="41" t="n"/>
      <c r="D919" s="41" t="n"/>
    </row>
    <row r="920">
      <c r="A920" s="41" t="inlineStr">
        <is>
          <t>テーブル名</t>
        </is>
      </c>
      <c r="B920" s="41" t="inlineStr">
        <is>
          <t>概要</t>
        </is>
      </c>
      <c r="C920" s="41" t="inlineStr">
        <is>
          <t>Phase</t>
        </is>
      </c>
      <c r="D920" s="41" t="n"/>
    </row>
    <row r="921">
      <c r="A921" s="41" t="inlineStr">
        <is>
          <t>org_id 追加(全テーブル)</t>
        </is>
      </c>
      <c r="B921" s="41" t="inlineStr">
        <is>
          <t>マルチテナント基盤(T-1対応)</t>
        </is>
      </c>
      <c r="C921" s="41" t="inlineStr">
        <is>
          <t>P1</t>
        </is>
      </c>
      <c r="D921" s="41" t="n"/>
    </row>
    <row r="922">
      <c r="A922" s="41" t="inlineStr">
        <is>
          <t>jobs_inflight</t>
        </is>
      </c>
      <c r="B922" s="41" t="inlineStr">
        <is>
          <t>pgmq冪等性ガード(T-3)</t>
        </is>
      </c>
      <c r="C922" s="41" t="inlineStr">
        <is>
          <t>P1</t>
        </is>
      </c>
      <c r="D922" s="41" t="n"/>
    </row>
    <row r="923">
      <c r="A923" s="41" t="inlineStr">
        <is>
          <t>idempotency_keys</t>
        </is>
      </c>
      <c r="B923" s="41" t="inlineStr">
        <is>
          <t>API冪等性キー保管(T-5)</t>
        </is>
      </c>
      <c r="C923" s="41" t="inlineStr">
        <is>
          <t>P1</t>
        </is>
      </c>
      <c r="D923" s="41" t="n"/>
    </row>
    <row r="924">
      <c r="A924" s="41" t="inlineStr">
        <is>
          <t>retention_policies</t>
        </is>
      </c>
      <c r="B924" s="41" t="inlineStr">
        <is>
          <t>sensitivity tier別TTL(C-2)</t>
        </is>
      </c>
      <c r="C924" s="41" t="inlineStr">
        <is>
          <t>P2</t>
        </is>
      </c>
      <c r="D924" s="41" t="n"/>
    </row>
    <row r="925">
      <c r="A925" s="41" t="inlineStr">
        <is>
          <t>audit_review_records</t>
        </is>
      </c>
      <c r="B925" s="41" t="inlineStr">
        <is>
          <t>admin監査レビュー(M-C8)</t>
        </is>
      </c>
      <c r="C925" s="41" t="inlineStr">
        <is>
          <t>P2</t>
        </is>
      </c>
      <c r="D925" s="41" t="n"/>
    </row>
    <row r="926">
      <c r="A926" s="41" t="inlineStr">
        <is>
          <t>secret_rotation_audit</t>
        </is>
      </c>
      <c r="B926" s="41" t="inlineStr">
        <is>
          <t>シークレット rotation 監査(M-C1)</t>
        </is>
      </c>
      <c r="C926" s="41" t="inlineStr">
        <is>
          <t>P2</t>
        </is>
      </c>
      <c r="D926" s="41" t="n"/>
    </row>
    <row r="927">
      <c r="A927" s="41" t="inlineStr">
        <is>
          <t>consent_logs</t>
        </is>
      </c>
      <c r="B927" s="41" t="inlineStr">
        <is>
          <t>利用規約版数+撤回(M-C5)</t>
        </is>
      </c>
      <c r="C927" s="41" t="inlineStr">
        <is>
          <t>P2</t>
        </is>
      </c>
      <c r="D927" s="41" t="n"/>
    </row>
    <row r="928">
      <c r="A928" s="41" t="inlineStr">
        <is>
          <t>email_drafts</t>
        </is>
      </c>
      <c r="B928" s="41" t="inlineStr">
        <is>
          <t>メールドラフト本体(M-20)</t>
        </is>
      </c>
      <c r="C928" s="41" t="inlineStr">
        <is>
          <t>P2</t>
        </is>
      </c>
      <c r="D928" s="41" t="n"/>
    </row>
    <row r="929">
      <c r="A929" s="41" t="inlineStr">
        <is>
          <t>cti_calls</t>
        </is>
      </c>
      <c r="B929" s="41" t="inlineStr">
        <is>
          <t>CTI着信ログ(G-1)</t>
        </is>
      </c>
      <c r="C929" s="41" t="inlineStr">
        <is>
          <t>P3</t>
        </is>
      </c>
      <c r="D929" s="41" t="n"/>
    </row>
    <row r="930">
      <c r="A930" s="41" t="inlineStr">
        <is>
          <t>win_analyses</t>
        </is>
      </c>
      <c r="B930" s="41" t="inlineStr">
        <is>
          <t>勝因分析(G-24)</t>
        </is>
      </c>
      <c r="C930" s="41" t="inlineStr">
        <is>
          <t>P3</t>
        </is>
      </c>
      <c r="D930" s="41" t="n"/>
    </row>
    <row r="931">
      <c r="A931" s="41" t="inlineStr">
        <is>
          <t>speaker_assignments</t>
        </is>
      </c>
      <c r="B931" s="41" t="inlineStr">
        <is>
          <t>話者命名+遡及伝搬(G-26)</t>
        </is>
      </c>
      <c r="C931" s="41" t="inlineStr">
        <is>
          <t>P2</t>
        </is>
      </c>
      <c r="D931" s="41" t="n"/>
    </row>
    <row r="932">
      <c r="A932" s="41" t="inlineStr">
        <is>
          <t>per_attendee_consent</t>
        </is>
      </c>
      <c r="B932" s="41" t="inlineStr">
        <is>
          <t>参加者単位同意(C-1,G-2)</t>
        </is>
      </c>
      <c r="C932" s="41" t="inlineStr">
        <is>
          <t>P2</t>
        </is>
      </c>
      <c r="D932" s="41" t="n"/>
    </row>
    <row r="933">
      <c r="A933" s="41" t="inlineStr">
        <is>
          <t>share_safety_filters</t>
        </is>
      </c>
      <c r="B933" s="41" t="inlineStr">
        <is>
          <t>共有時のフィルタ設定(G-3)</t>
        </is>
      </c>
      <c r="C933" s="41" t="inlineStr">
        <is>
          <t>P2</t>
        </is>
      </c>
      <c r="D933" s="41" t="n"/>
    </row>
    <row r="934">
      <c r="A934" s="41" t="inlineStr">
        <is>
          <t>onboarding_kpis</t>
        </is>
      </c>
      <c r="B934" s="41" t="inlineStr">
        <is>
          <t>オンボード habit-loop(G-13)</t>
        </is>
      </c>
      <c r="C934" s="41" t="inlineStr">
        <is>
          <t>P3</t>
        </is>
      </c>
      <c r="D934" s="41" t="n"/>
    </row>
    <row r="935">
      <c r="A935" s="41" t="inlineStr">
        <is>
          <t>meeting_share_watermarks</t>
        </is>
      </c>
      <c r="B935" s="41" t="inlineStr">
        <is>
          <t>共有時透かし(M-C2)</t>
        </is>
      </c>
      <c r="C935" s="41" t="inlineStr">
        <is>
          <t>P2</t>
        </is>
      </c>
      <c r="D935" s="41" t="n"/>
    </row>
    <row r="936">
      <c r="A936" s="41" t="inlineStr">
        <is>
          <t>dr_backup_regions</t>
        </is>
      </c>
      <c r="B936" s="41" t="inlineStr">
        <is>
          <t>DR用クロスリージョン(M-C4)</t>
        </is>
      </c>
      <c r="C936" s="41" t="inlineStr">
        <is>
          <t>P2</t>
        </is>
      </c>
      <c r="D936" s="41" t="n"/>
    </row>
    <row r="937">
      <c r="A937" s="41" t="n"/>
      <c r="B937" s="41" t="n"/>
      <c r="C937" s="41" t="n"/>
      <c r="D937" s="41" t="n"/>
    </row>
    <row r="938">
      <c r="A938" s="41" t="inlineStr">
        <is>
          <t>▼ jobs_inflight (T-3)</t>
        </is>
      </c>
      <c r="B938" s="41" t="n"/>
      <c r="C938" s="41" t="n"/>
      <c r="D938" s="41" t="n"/>
    </row>
    <row r="939">
      <c r="A939" s="41" t="inlineStr">
        <is>
          <t>カラム</t>
        </is>
      </c>
      <c r="B939" s="41" t="inlineStr">
        <is>
          <t>型</t>
        </is>
      </c>
      <c r="C939" s="41" t="inlineStr">
        <is>
          <t>説明</t>
        </is>
      </c>
      <c r="D939" s="41" t="inlineStr">
        <is>
          <t>必須</t>
        </is>
      </c>
    </row>
    <row r="940">
      <c r="A940" s="41" t="inlineStr">
        <is>
          <t>queue_name</t>
        </is>
      </c>
      <c r="B940" s="41" t="inlineStr">
        <is>
          <t>text</t>
        </is>
      </c>
      <c r="C940" s="41" t="inlineStr"/>
      <c r="D940" s="41" t="n"/>
    </row>
    <row r="941">
      <c r="A941" s="41" t="inlineStr">
        <is>
          <t>idempotency_key</t>
        </is>
      </c>
      <c r="B941" s="41" t="inlineStr">
        <is>
          <t>text</t>
        </is>
      </c>
      <c r="C941" s="41" t="inlineStr"/>
      <c r="D941" s="41" t="n"/>
    </row>
    <row r="942">
      <c r="A942" s="41" t="inlineStr">
        <is>
          <t>acquired_by</t>
        </is>
      </c>
      <c r="B942" s="41" t="inlineStr">
        <is>
          <t>text</t>
        </is>
      </c>
      <c r="C942" s="41" t="inlineStr">
        <is>
          <t>worker_id</t>
        </is>
      </c>
      <c r="D942" s="41" t="inlineStr">
        <is>
          <t>必須</t>
        </is>
      </c>
    </row>
    <row r="943">
      <c r="A943" s="41" t="inlineStr">
        <is>
          <t>acquired_at</t>
        </is>
      </c>
      <c r="B943" s="41" t="inlineStr">
        <is>
          <t>timestamptz</t>
        </is>
      </c>
      <c r="C943" s="41" t="inlineStr"/>
      <c r="D943" s="41" t="n"/>
    </row>
    <row r="944">
      <c r="A944" s="41" t="inlineStr">
        <is>
          <t>expires_at</t>
        </is>
      </c>
      <c r="B944" s="41" t="inlineStr">
        <is>
          <t>timestamptz</t>
        </is>
      </c>
      <c r="C944" s="41" t="inlineStr">
        <is>
          <t>visibility timeout</t>
        </is>
      </c>
      <c r="D944" s="41" t="inlineStr">
        <is>
          <t>必須</t>
        </is>
      </c>
    </row>
    <row r="945">
      <c r="A945" s="41" t="inlineStr">
        <is>
          <t>PRIMARY KEY</t>
        </is>
      </c>
      <c r="B945" s="41" t="inlineStr">
        <is>
          <t>(queue_name, idempotency_key)</t>
        </is>
      </c>
      <c r="C945" s="41" t="inlineStr"/>
      <c r="D945" s="41" t="n"/>
    </row>
    <row r="946">
      <c r="A946" s="41" t="n"/>
      <c r="B946" s="41" t="n"/>
      <c r="C946" s="41" t="n"/>
      <c r="D946" s="41" t="n"/>
    </row>
    <row r="947">
      <c r="A947" s="41" t="inlineStr">
        <is>
          <t>▼ idempotency_keys (T-5)</t>
        </is>
      </c>
      <c r="B947" s="41" t="n"/>
      <c r="C947" s="41" t="n"/>
      <c r="D947" s="41" t="n"/>
    </row>
    <row r="948">
      <c r="A948" s="41" t="inlineStr">
        <is>
          <t>カラム</t>
        </is>
      </c>
      <c r="B948" s="41" t="inlineStr">
        <is>
          <t>型</t>
        </is>
      </c>
      <c r="C948" s="41" t="inlineStr">
        <is>
          <t>説明</t>
        </is>
      </c>
      <c r="D948" s="41" t="inlineStr">
        <is>
          <t>必須</t>
        </is>
      </c>
    </row>
    <row r="949">
      <c r="A949" s="41" t="inlineStr">
        <is>
          <t>key</t>
        </is>
      </c>
      <c r="B949" s="41" t="inlineStr">
        <is>
          <t>text PK</t>
        </is>
      </c>
      <c r="C949" s="41" t="inlineStr">
        <is>
          <t>Idempotency-Key header</t>
        </is>
      </c>
      <c r="D949" s="41" t="inlineStr">
        <is>
          <t>必須</t>
        </is>
      </c>
    </row>
    <row r="950">
      <c r="A950" s="41" t="inlineStr">
        <is>
          <t>user_id</t>
        </is>
      </c>
      <c r="B950" s="41" t="inlineStr">
        <is>
          <t>uuid REFERENCES users(id)</t>
        </is>
      </c>
      <c r="C950" s="41" t="inlineStr"/>
      <c r="D950" s="41" t="n"/>
    </row>
    <row r="951">
      <c r="A951" s="41" t="inlineStr">
        <is>
          <t>request_hash</t>
        </is>
      </c>
      <c r="B951" s="41" t="inlineStr">
        <is>
          <t>text</t>
        </is>
      </c>
      <c r="C951" s="41" t="inlineStr">
        <is>
          <t>sha256(method+path+body)</t>
        </is>
      </c>
      <c r="D951" s="41" t="inlineStr">
        <is>
          <t>必須</t>
        </is>
      </c>
    </row>
    <row r="952">
      <c r="A952" s="41" t="inlineStr">
        <is>
          <t>response_status</t>
        </is>
      </c>
      <c r="B952" s="41" t="inlineStr">
        <is>
          <t>int</t>
        </is>
      </c>
      <c r="C952" s="41" t="inlineStr"/>
      <c r="D952" s="41" t="n"/>
    </row>
    <row r="953">
      <c r="A953" s="41" t="inlineStr">
        <is>
          <t>response_body</t>
        </is>
      </c>
      <c r="B953" s="41" t="inlineStr">
        <is>
          <t>jsonb</t>
        </is>
      </c>
      <c r="C953" s="41" t="inlineStr"/>
      <c r="D953" s="41" t="n"/>
    </row>
    <row r="954">
      <c r="A954" s="41" t="inlineStr">
        <is>
          <t>status</t>
        </is>
      </c>
      <c r="B954" s="41" t="inlineStr">
        <is>
          <t>text CHECK (status IN ('processing','done','failed'))</t>
        </is>
      </c>
      <c r="C954" s="41" t="inlineStr"/>
      <c r="D954" s="41" t="n"/>
    </row>
    <row r="955">
      <c r="A955" s="41" t="inlineStr">
        <is>
          <t>created_at</t>
        </is>
      </c>
      <c r="B955" s="41" t="inlineStr">
        <is>
          <t>timestamptz DEFAULT now()</t>
        </is>
      </c>
      <c r="C955" s="41" t="inlineStr"/>
      <c r="D955" s="41" t="n"/>
    </row>
    <row r="956">
      <c r="A956" s="41" t="inlineStr">
        <is>
          <t>expires_at</t>
        </is>
      </c>
      <c r="B956" s="41" t="inlineStr">
        <is>
          <t>timestamptz DEFAULT now()+interval '24 hours'</t>
        </is>
      </c>
      <c r="C956" s="41" t="inlineStr"/>
      <c r="D956" s="41" t="n"/>
    </row>
    <row r="957">
      <c r="A957" s="41" t="n"/>
      <c r="B957" s="41" t="n"/>
      <c r="C957" s="41" t="n"/>
      <c r="D957" s="41" t="n"/>
    </row>
    <row r="958">
      <c r="A958" s="41" t="inlineStr">
        <is>
          <t>▼ retention_policies (C-2)</t>
        </is>
      </c>
      <c r="B958" s="41" t="n"/>
      <c r="C958" s="41" t="n"/>
      <c r="D958" s="41" t="n"/>
    </row>
    <row r="959">
      <c r="A959" s="41" t="inlineStr">
        <is>
          <t>カラム</t>
        </is>
      </c>
      <c r="B959" s="41" t="inlineStr">
        <is>
          <t>型</t>
        </is>
      </c>
      <c r="C959" s="41" t="inlineStr">
        <is>
          <t>説明</t>
        </is>
      </c>
      <c r="D959" s="41" t="inlineStr">
        <is>
          <t>必須</t>
        </is>
      </c>
    </row>
    <row r="960">
      <c r="A960" s="41" t="inlineStr">
        <is>
          <t>org_id</t>
        </is>
      </c>
      <c r="B960" s="41" t="inlineStr">
        <is>
          <t>uuid</t>
        </is>
      </c>
      <c r="C960" s="41" t="inlineStr"/>
      <c r="D960" s="41" t="n"/>
    </row>
    <row r="961">
      <c r="A961" s="41" t="inlineStr">
        <is>
          <t>resource_kind</t>
        </is>
      </c>
      <c r="B961" s="41" t="inlineStr">
        <is>
          <t>text</t>
        </is>
      </c>
      <c r="C961" s="41" t="inlineStr">
        <is>
          <t>recording|recording_segment|email|note|knowledge_item|audit_log</t>
        </is>
      </c>
      <c r="D961" s="41" t="inlineStr">
        <is>
          <t>必須</t>
        </is>
      </c>
    </row>
    <row r="962">
      <c r="A962" s="41" t="inlineStr">
        <is>
          <t>sensitivity</t>
        </is>
      </c>
      <c r="B962" s="41" t="inlineStr">
        <is>
          <t>text</t>
        </is>
      </c>
      <c r="C962" s="41" t="inlineStr">
        <is>
          <t>public|internal|sensitive</t>
        </is>
      </c>
      <c r="D962" s="41" t="inlineStr">
        <is>
          <t>必須</t>
        </is>
      </c>
    </row>
    <row r="963">
      <c r="A963" s="41" t="inlineStr">
        <is>
          <t>ttl_days</t>
        </is>
      </c>
      <c r="B963" s="41" t="inlineStr">
        <is>
          <t>int</t>
        </is>
      </c>
      <c r="C963" s="41" t="inlineStr">
        <is>
          <t>受注/失注確定後</t>
        </is>
      </c>
      <c r="D963" s="41" t="inlineStr">
        <is>
          <t>必須</t>
        </is>
      </c>
    </row>
    <row r="964">
      <c r="A964" s="41" t="inlineStr">
        <is>
          <t>legal_hold_override</t>
        </is>
      </c>
      <c r="B964" s="41" t="inlineStr">
        <is>
          <t>boolean DEFAULT true</t>
        </is>
      </c>
      <c r="C964" s="41" t="inlineStr">
        <is>
          <t>legal hold時はTTL無視</t>
        </is>
      </c>
      <c r="D964" s="41" t="inlineStr">
        <is>
          <t>必須</t>
        </is>
      </c>
    </row>
    <row r="965">
      <c r="A965" s="41" t="inlineStr">
        <is>
          <t>dpa_synced_at</t>
        </is>
      </c>
      <c r="B965" s="41" t="inlineStr">
        <is>
          <t>timestamptz</t>
        </is>
      </c>
      <c r="C965" s="41" t="inlineStr">
        <is>
          <t>契約書と最終同期</t>
        </is>
      </c>
      <c r="D965" s="41" t="inlineStr">
        <is>
          <t>任意</t>
        </is>
      </c>
    </row>
    <row r="966">
      <c r="A966" s="41" t="inlineStr">
        <is>
          <t>PRIMARY KEY</t>
        </is>
      </c>
      <c r="B966" s="41" t="inlineStr">
        <is>
          <t>(org_id, resource_kind, sensitivity)</t>
        </is>
      </c>
      <c r="C966" s="41" t="inlineStr"/>
      <c r="D966" s="41" t="n"/>
    </row>
    <row r="967">
      <c r="A967" s="41" t="n"/>
      <c r="B967" s="41" t="n"/>
      <c r="C967" s="41" t="n"/>
      <c r="D967" s="41" t="n"/>
    </row>
    <row r="968">
      <c r="A968" s="41" t="inlineStr">
        <is>
          <t>▼ per_attendee_consent (C-1, G-2)</t>
        </is>
      </c>
      <c r="B968" s="41" t="n"/>
      <c r="C968" s="41" t="n"/>
      <c r="D968" s="41" t="n"/>
    </row>
    <row r="969">
      <c r="A969" s="41" t="inlineStr">
        <is>
          <t>カラム</t>
        </is>
      </c>
      <c r="B969" s="41" t="inlineStr">
        <is>
          <t>型</t>
        </is>
      </c>
      <c r="C969" s="41" t="inlineStr">
        <is>
          <t>説明</t>
        </is>
      </c>
      <c r="D969" s="41" t="inlineStr">
        <is>
          <t>必須</t>
        </is>
      </c>
    </row>
    <row r="970">
      <c r="A970" s="41" t="inlineStr">
        <is>
          <t>id</t>
        </is>
      </c>
      <c r="B970" s="41" t="inlineStr">
        <is>
          <t>uuid PK</t>
        </is>
      </c>
      <c r="C970" s="41" t="inlineStr"/>
      <c r="D970" s="41" t="n"/>
    </row>
    <row r="971">
      <c r="A971" s="41" t="inlineStr">
        <is>
          <t>meeting_id</t>
        </is>
      </c>
      <c r="B971" s="41" t="inlineStr">
        <is>
          <t>uuid REFERENCES meetings(id) ON DELETE CASCADE</t>
        </is>
      </c>
      <c r="C971" s="41" t="inlineStr"/>
      <c r="D971" s="41" t="n"/>
    </row>
    <row r="972">
      <c r="A972" s="41" t="inlineStr">
        <is>
          <t>attendee_id</t>
        </is>
      </c>
      <c r="B972" s="41" t="inlineStr">
        <is>
          <t>uuid</t>
        </is>
      </c>
      <c r="C972" s="41" t="inlineStr">
        <is>
          <t>meeting_attendees.id</t>
        </is>
      </c>
      <c r="D972" s="41" t="inlineStr">
        <is>
          <t>必須</t>
        </is>
      </c>
    </row>
    <row r="973">
      <c r="A973" s="41" t="inlineStr">
        <is>
          <t>consent</t>
        </is>
      </c>
      <c r="B973" s="41" t="inlineStr">
        <is>
          <t>boolean</t>
        </is>
      </c>
      <c r="C973" s="41" t="inlineStr">
        <is>
          <t>NULL=未取得</t>
        </is>
      </c>
      <c r="D973" s="41" t="inlineStr">
        <is>
          <t>任意</t>
        </is>
      </c>
    </row>
    <row r="974">
      <c r="A974" s="41" t="inlineStr">
        <is>
          <t>captured_at</t>
        </is>
      </c>
      <c r="B974" s="41" t="inlineStr">
        <is>
          <t>timestamptz</t>
        </is>
      </c>
      <c r="C974" s="41" t="inlineStr"/>
      <c r="D974" s="41" t="n"/>
    </row>
    <row r="975">
      <c r="A975" s="41" t="inlineStr">
        <is>
          <t>captured_via</t>
        </is>
      </c>
      <c r="B975" s="41" t="inlineStr">
        <is>
          <t>text</t>
        </is>
      </c>
      <c r="C975" s="41" t="inlineStr">
        <is>
          <t>auto_announcement|manual|join_dialog</t>
        </is>
      </c>
      <c r="D975" s="41" t="inlineStr">
        <is>
          <t>必須</t>
        </is>
      </c>
    </row>
    <row r="976">
      <c r="A976" s="41" t="inlineStr">
        <is>
          <t>pre_consent_audio_purged</t>
        </is>
      </c>
      <c r="B976" s="41" t="inlineStr">
        <is>
          <t>boolean DEFAULT false</t>
        </is>
      </c>
      <c r="C976" s="41" t="inlineStr"/>
      <c r="D976" s="41" t="n"/>
    </row>
    <row r="977">
      <c r="A977" s="41" t="inlineStr">
        <is>
          <t>recording_segment_id</t>
        </is>
      </c>
      <c r="B977" s="41" t="inlineStr">
        <is>
          <t>uuid</t>
        </is>
      </c>
      <c r="C977" s="41" t="inlineStr">
        <is>
          <t>証跡発話</t>
        </is>
      </c>
      <c r="D977" s="41" t="inlineStr">
        <is>
          <t>任意</t>
        </is>
      </c>
    </row>
    <row r="978">
      <c r="A978" s="41" t="inlineStr">
        <is>
          <t>UNIQUE</t>
        </is>
      </c>
      <c r="B978" s="41" t="inlineStr">
        <is>
          <t>(meeting_id, attendee_id)</t>
        </is>
      </c>
      <c r="C978" s="41" t="inlineStr"/>
      <c r="D978" s="41" t="n"/>
    </row>
    <row r="979">
      <c r="A979" s="41" t="n"/>
      <c r="B979" s="41" t="n"/>
      <c r="C979" s="41" t="n"/>
      <c r="D979" s="41" t="n"/>
    </row>
    <row r="980">
      <c r="A980" s="41" t="inlineStr">
        <is>
          <t>▼ email_drafts (M-20)</t>
        </is>
      </c>
      <c r="B980" s="41" t="n"/>
      <c r="C980" s="41" t="n"/>
      <c r="D980" s="41" t="n"/>
    </row>
    <row r="981">
      <c r="A981" s="41" t="inlineStr">
        <is>
          <t>カラム</t>
        </is>
      </c>
      <c r="B981" s="41" t="inlineStr">
        <is>
          <t>型</t>
        </is>
      </c>
      <c r="C981" s="41" t="inlineStr">
        <is>
          <t>説明</t>
        </is>
      </c>
      <c r="D981" s="41" t="inlineStr">
        <is>
          <t>必須</t>
        </is>
      </c>
    </row>
    <row r="982">
      <c r="A982" s="41" t="inlineStr">
        <is>
          <t>id</t>
        </is>
      </c>
      <c r="B982" s="41" t="inlineStr">
        <is>
          <t>uuid PK</t>
        </is>
      </c>
      <c r="C982" s="41" t="inlineStr"/>
      <c r="D982" s="41" t="n"/>
    </row>
    <row r="983">
      <c r="A983" s="41" t="inlineStr">
        <is>
          <t>org_id</t>
        </is>
      </c>
      <c r="B983" s="41" t="inlineStr">
        <is>
          <t>uuid</t>
        </is>
      </c>
      <c r="C983" s="41" t="inlineStr"/>
      <c r="D983" s="41" t="n"/>
    </row>
    <row r="984">
      <c r="A984" s="41" t="inlineStr">
        <is>
          <t>thread_id</t>
        </is>
      </c>
      <c r="B984" s="41" t="inlineStr">
        <is>
          <t>text</t>
        </is>
      </c>
      <c r="C984" s="41" t="inlineStr">
        <is>
          <t>Gmail Thread ID</t>
        </is>
      </c>
      <c r="D984" s="41" t="inlineStr">
        <is>
          <t>任意</t>
        </is>
      </c>
    </row>
    <row r="985">
      <c r="A985" s="41" t="inlineStr">
        <is>
          <t>owner_user_id</t>
        </is>
      </c>
      <c r="B985" s="41" t="inlineStr">
        <is>
          <t>uuid REFERENCES users(id)</t>
        </is>
      </c>
      <c r="C985" s="41" t="inlineStr"/>
      <c r="D985" s="41" t="n"/>
    </row>
    <row r="986">
      <c r="A986" s="41" t="inlineStr">
        <is>
          <t>recipient</t>
        </is>
      </c>
      <c r="B986" s="41" t="inlineStr">
        <is>
          <t>jsonb</t>
        </is>
      </c>
      <c r="C986" s="41" t="inlineStr">
        <is>
          <t>[{email,name},...]</t>
        </is>
      </c>
      <c r="D986" s="41" t="inlineStr">
        <is>
          <t>必須</t>
        </is>
      </c>
    </row>
    <row r="987">
      <c r="A987" s="41" t="inlineStr">
        <is>
          <t>cc</t>
        </is>
      </c>
      <c r="B987" s="41" t="inlineStr">
        <is>
          <t>jsonb</t>
        </is>
      </c>
      <c r="C987" s="41" t="inlineStr"/>
      <c r="D987" s="41" t="n"/>
    </row>
    <row r="988">
      <c r="A988" s="41" t="inlineStr">
        <is>
          <t>subject</t>
        </is>
      </c>
      <c r="B988" s="41" t="inlineStr">
        <is>
          <t>text</t>
        </is>
      </c>
      <c r="C988" s="41" t="inlineStr"/>
      <c r="D988" s="41" t="n"/>
    </row>
    <row r="989">
      <c r="A989" s="41" t="inlineStr">
        <is>
          <t>body</t>
        </is>
      </c>
      <c r="B989" s="41" t="inlineStr">
        <is>
          <t>text</t>
        </is>
      </c>
      <c r="C989" s="41" t="inlineStr"/>
      <c r="D989" s="41" t="n"/>
    </row>
    <row r="990">
      <c r="A990" s="41" t="inlineStr">
        <is>
          <t>status</t>
        </is>
      </c>
      <c r="B990" s="41" t="inlineStr">
        <is>
          <t>text CHECK (status IN ('draft','queued','sent','cancelled','failed'))</t>
        </is>
      </c>
      <c r="C990" s="41" t="inlineStr"/>
      <c r="D990" s="41" t="n"/>
    </row>
    <row r="991">
      <c r="A991" s="41" t="inlineStr">
        <is>
          <t>scheduled_send_at</t>
        </is>
      </c>
      <c r="B991" s="41" t="inlineStr">
        <is>
          <t>timestamptz</t>
        </is>
      </c>
      <c r="C991" s="41" t="inlineStr">
        <is>
          <t>30秒undo含む</t>
        </is>
      </c>
      <c r="D991" s="41" t="inlineStr">
        <is>
          <t>任意</t>
        </is>
      </c>
    </row>
    <row r="992">
      <c r="A992" s="41" t="inlineStr">
        <is>
          <t>sent_at</t>
        </is>
      </c>
      <c r="B992" s="41" t="inlineStr">
        <is>
          <t>timestamptz</t>
        </is>
      </c>
      <c r="C992" s="41" t="inlineStr"/>
      <c r="D992" s="41" t="n"/>
    </row>
    <row r="993">
      <c r="A993" s="41" t="inlineStr">
        <is>
          <t>version</t>
        </is>
      </c>
      <c r="B993" s="41" t="inlineStr">
        <is>
          <t>int NOT NULL DEFAULT 1</t>
        </is>
      </c>
      <c r="C993" s="41" t="inlineStr">
        <is>
          <t>楽観ロック(T-7)</t>
        </is>
      </c>
      <c r="D993" s="41" t="inlineStr">
        <is>
          <t>必須</t>
        </is>
      </c>
    </row>
    <row r="994">
      <c r="A994" s="41" t="inlineStr">
        <is>
          <t>created_at</t>
        </is>
      </c>
      <c r="B994" s="41" t="inlineStr">
        <is>
          <t>timestamptz DEFAULT now()</t>
        </is>
      </c>
      <c r="C994" s="41" t="inlineStr"/>
      <c r="D994" s="41" t="n"/>
    </row>
    <row r="995">
      <c r="A995" s="41" t="n"/>
      <c r="B995" s="41" t="n"/>
      <c r="C995" s="41" t="n"/>
      <c r="D995" s="41" t="n"/>
    </row>
    <row r="996">
      <c r="A996" s="41" t="inlineStr">
        <is>
          <t>▼ cti_calls (G-1)</t>
        </is>
      </c>
      <c r="B996" s="41" t="n"/>
      <c r="C996" s="41" t="n"/>
      <c r="D996" s="41" t="n"/>
    </row>
    <row r="997">
      <c r="A997" s="41" t="inlineStr">
        <is>
          <t>カラム</t>
        </is>
      </c>
      <c r="B997" s="41" t="inlineStr">
        <is>
          <t>型</t>
        </is>
      </c>
      <c r="C997" s="41" t="inlineStr">
        <is>
          <t>説明</t>
        </is>
      </c>
      <c r="D997" s="41" t="inlineStr">
        <is>
          <t>必須</t>
        </is>
      </c>
    </row>
    <row r="998">
      <c r="A998" s="41" t="inlineStr">
        <is>
          <t>id</t>
        </is>
      </c>
      <c r="B998" s="41" t="inlineStr">
        <is>
          <t>uuid PK</t>
        </is>
      </c>
      <c r="C998" s="41" t="inlineStr"/>
      <c r="D998" s="41" t="n"/>
    </row>
    <row r="999">
      <c r="A999" s="41" t="inlineStr">
        <is>
          <t>user_id</t>
        </is>
      </c>
      <c r="B999" s="41" t="inlineStr">
        <is>
          <t>uuid REFERENCES users(id)</t>
        </is>
      </c>
      <c r="C999" s="41" t="inlineStr"/>
      <c r="D999" s="41" t="n"/>
    </row>
    <row r="1000">
      <c r="A1000" s="41" t="inlineStr">
        <is>
          <t>caller_phone</t>
        </is>
      </c>
      <c r="B1000" s="41" t="inlineStr">
        <is>
          <t>text</t>
        </is>
      </c>
      <c r="C1000" s="41" t="inlineStr"/>
      <c r="D1000" s="41" t="n"/>
    </row>
    <row r="1001">
      <c r="A1001" s="41" t="inlineStr">
        <is>
          <t>matched_contact_id</t>
        </is>
      </c>
      <c r="B1001" s="41" t="inlineStr">
        <is>
          <t>uuid</t>
        </is>
      </c>
      <c r="C1001" s="41" t="inlineStr"/>
      <c r="D1001" s="41" t="n"/>
    </row>
    <row r="1002">
      <c r="A1002" s="41" t="inlineStr">
        <is>
          <t>matched_company_id</t>
        </is>
      </c>
      <c r="B1002" s="41" t="inlineStr">
        <is>
          <t>uuid</t>
        </is>
      </c>
      <c r="C1002" s="41" t="inlineStr"/>
      <c r="D1002" s="41" t="n"/>
    </row>
    <row r="1003">
      <c r="A1003" s="41" t="inlineStr">
        <is>
          <t>call_started_at</t>
        </is>
      </c>
      <c r="B1003" s="41" t="inlineStr">
        <is>
          <t>timestamptz</t>
        </is>
      </c>
      <c r="C1003" s="41" t="inlineStr"/>
      <c r="D1003" s="41" t="n"/>
    </row>
    <row r="1004">
      <c r="A1004" s="41" t="inlineStr">
        <is>
          <t>call_ended_at</t>
        </is>
      </c>
      <c r="B1004" s="41" t="inlineStr">
        <is>
          <t>timestamptz</t>
        </is>
      </c>
      <c r="C1004" s="41" t="inlineStr"/>
      <c r="D1004" s="41" t="n"/>
    </row>
    <row r="1006">
      <c r="A1006" s="41" t="inlineStr">
        <is>
          <t>■ v2.3 追加テーブル(実演シミュ反映)</t>
        </is>
      </c>
      <c r="B1006" s="41" t="n"/>
      <c r="C1006" s="41" t="n"/>
      <c r="D1006" s="41" t="n"/>
    </row>
    <row r="1007">
      <c r="A1007" s="41" t="inlineStr">
        <is>
          <t>テーブル名</t>
        </is>
      </c>
      <c r="B1007" s="41" t="inlineStr">
        <is>
          <t>概要</t>
        </is>
      </c>
      <c r="C1007" s="41" t="inlineStr">
        <is>
          <t>Phase</t>
        </is>
      </c>
      <c r="D1007" s="41" t="n"/>
    </row>
    <row r="1008">
      <c r="A1008" s="41" t="inlineStr">
        <is>
          <t>share_audience_presets</t>
        </is>
      </c>
      <c r="B1008" s="41" t="inlineStr">
        <is>
          <t>共有時audience別マスキングテンプレ(F-S5-3)</t>
        </is>
      </c>
      <c r="C1008" s="41" t="inlineStr">
        <is>
          <t>P2</t>
        </is>
      </c>
      <c r="D1008" s="41" t="n"/>
    </row>
    <row r="1009">
      <c r="A1009" s="41" t="inlineStr">
        <is>
          <t>transcript_anchors</t>
        </is>
      </c>
      <c r="B1009" s="41" t="inlineStr">
        <is>
          <t>録画箇所×資料/コミットの双方向リンク(F-S9-4)</t>
        </is>
      </c>
      <c r="C1009" s="41" t="inlineStr">
        <is>
          <t>P2</t>
        </is>
      </c>
      <c r="D1009" s="41" t="n"/>
    </row>
    <row r="1010">
      <c r="A1010" s="41" t="inlineStr">
        <is>
          <t>contract_special_terms</t>
        </is>
      </c>
      <c r="B1010" s="41" t="inlineStr">
        <is>
          <t>特殊条件taxonomy(F-S9-2)</t>
        </is>
      </c>
      <c r="C1010" s="41" t="inlineStr">
        <is>
          <t>P2</t>
        </is>
      </c>
      <c r="D1010" s="41" t="n"/>
    </row>
    <row r="1011">
      <c r="A1011" s="41" t="inlineStr">
        <is>
          <t>handoff_quality_metrics</t>
        </is>
      </c>
      <c r="B1011" s="41" t="inlineStr">
        <is>
          <t>引継ぎ品質×継続率(F-S9-5)</t>
        </is>
      </c>
      <c r="C1011" s="41" t="inlineStr">
        <is>
          <t>P3</t>
        </is>
      </c>
      <c r="D1011" s="41" t="n"/>
    </row>
    <row r="1012">
      <c r="A1012" s="41" t="inlineStr">
        <is>
          <t>audit_chain_incidents</t>
        </is>
      </c>
      <c r="B1012" s="41" t="inlineStr">
        <is>
          <t>監査hash chain破断インシデント(F-S10-3)</t>
        </is>
      </c>
      <c r="C1012" s="41" t="inlineStr">
        <is>
          <t>P2</t>
        </is>
      </c>
      <c r="D1012" s="41" t="n"/>
    </row>
    <row r="1013">
      <c r="A1013" s="41" t="inlineStr">
        <is>
          <t>cost_actuals</t>
        </is>
      </c>
      <c r="B1013" s="41" t="inlineStr">
        <is>
          <t>per-user/team/featureコスト実績(F-S10-4)</t>
        </is>
      </c>
      <c r="C1013" s="41" t="inlineStr">
        <is>
          <t>P2</t>
        </is>
      </c>
      <c r="D1013" s="41" t="n"/>
    </row>
    <row r="1014">
      <c r="A1014" s="41" t="inlineStr">
        <is>
          <t>behavioral_anomalies</t>
        </is>
      </c>
      <c r="B1014" s="41" t="inlineStr">
        <is>
          <t>部下行動異常検知(F-S8-4)</t>
        </is>
      </c>
      <c r="C1014" s="41" t="inlineStr">
        <is>
          <t>P3</t>
        </is>
      </c>
      <c r="D1014" s="41" t="n"/>
    </row>
    <row r="1015">
      <c r="A1015" s="41" t="inlineStr">
        <is>
          <t>export_templates</t>
        </is>
      </c>
      <c r="B1015" s="41" t="inlineStr">
        <is>
          <t>i18n対応テンプレ(PDF/メール/透かし F-UX-1)</t>
        </is>
      </c>
      <c r="C1015" s="41" t="inlineStr">
        <is>
          <t>P3</t>
        </is>
      </c>
      <c r="D1015" s="41" t="n"/>
    </row>
    <row r="1016">
      <c r="A1016" s="41" t="inlineStr">
        <is>
          <t>notification_dispatch_log</t>
        </is>
      </c>
      <c r="B1016" s="41" t="inlineStr">
        <is>
          <t>通知重複抑制(F-UX-4)</t>
        </is>
      </c>
      <c r="C1016" s="41" t="inlineStr">
        <is>
          <t>P2</t>
        </is>
      </c>
      <c r="D1016" s="41" t="n"/>
    </row>
    <row r="1017">
      <c r="A1017" s="41" t="inlineStr">
        <is>
          <t>role_default_notification_presets</t>
        </is>
      </c>
      <c r="B1017" s="41" t="inlineStr">
        <is>
          <t>ロール別通知初期値(F-S12-4)</t>
        </is>
      </c>
      <c r="C1017" s="41" t="inlineStr">
        <is>
          <t>P3</t>
        </is>
      </c>
      <c r="D1017" s="41" t="n"/>
    </row>
    <row r="1018">
      <c r="A1018" s="41" t="inlineStr">
        <is>
          <t>sync_success_log</t>
        </is>
      </c>
      <c r="B1018" s="41" t="inlineStr">
        <is>
          <t>オフライン同期成功ログ(F-S14-3)</t>
        </is>
      </c>
      <c r="C1018" s="41" t="inlineStr">
        <is>
          <t>P2</t>
        </is>
      </c>
      <c r="D1018" s="41" t="n"/>
    </row>
    <row r="1019">
      <c r="A1019" s="41" t="n"/>
      <c r="B1019" s="41" t="n"/>
      <c r="C1019" s="41" t="n"/>
      <c r="D1019" s="41" t="n"/>
    </row>
    <row r="1020">
      <c r="A1020" s="41" t="inlineStr">
        <is>
          <t>▼ derived_artifacts_status (F-S5-1)</t>
        </is>
      </c>
      <c r="B1020" s="41" t="n"/>
      <c r="C1020" s="41" t="n"/>
      <c r="D1020" s="41" t="n"/>
    </row>
    <row r="1021">
      <c r="A1021" s="41" t="inlineStr">
        <is>
          <t>カラム</t>
        </is>
      </c>
      <c r="B1021" s="41" t="inlineStr">
        <is>
          <t>型</t>
        </is>
      </c>
      <c r="C1021" s="41" t="inlineStr">
        <is>
          <t>説明</t>
        </is>
      </c>
      <c r="D1021" s="41" t="inlineStr">
        <is>
          <t>必須</t>
        </is>
      </c>
    </row>
    <row r="1022">
      <c r="A1022" s="41" t="inlineStr">
        <is>
          <t>meeting_id</t>
        </is>
      </c>
      <c r="B1022" s="41" t="inlineStr">
        <is>
          <t>uuid PK REFERENCES meetings(id) ON DELETE CASCADE</t>
        </is>
      </c>
      <c r="C1022" s="41" t="inlineStr"/>
      <c r="D1022" s="41" t="n"/>
    </row>
    <row r="1023">
      <c r="A1023" s="41" t="inlineStr">
        <is>
          <t>summary_v</t>
        </is>
      </c>
      <c r="B1023" s="41" t="inlineStr">
        <is>
          <t>int DEFAULT 0</t>
        </is>
      </c>
      <c r="C1023" s="41" t="inlineStr">
        <is>
          <t>external-summary version</t>
        </is>
      </c>
      <c r="D1023" s="41" t="inlineStr">
        <is>
          <t>必須</t>
        </is>
      </c>
    </row>
    <row r="1024">
      <c r="A1024" s="41" t="inlineStr">
        <is>
          <t>handoff_v</t>
        </is>
      </c>
      <c r="B1024" s="41" t="inlineStr">
        <is>
          <t>int DEFAULT 0</t>
        </is>
      </c>
      <c r="C1024" s="41" t="inlineStr">
        <is>
          <t>handoff version</t>
        </is>
      </c>
      <c r="D1024" s="41" t="inlineStr">
        <is>
          <t>必須</t>
        </is>
      </c>
    </row>
    <row r="1025">
      <c r="A1025" s="41" t="inlineStr">
        <is>
          <t>embeddings_v</t>
        </is>
      </c>
      <c r="B1025" s="41" t="inlineStr">
        <is>
          <t>int DEFAULT 0</t>
        </is>
      </c>
      <c r="C1025" s="41" t="inlineStr">
        <is>
          <t>embeddings version</t>
        </is>
      </c>
      <c r="D1025" s="41" t="inlineStr">
        <is>
          <t>必須</t>
        </is>
      </c>
    </row>
    <row r="1026">
      <c r="A1026" s="41" t="inlineStr">
        <is>
          <t>last_edit_at</t>
        </is>
      </c>
      <c r="B1026" s="41" t="inlineStr">
        <is>
          <t>timestamptz</t>
        </is>
      </c>
      <c r="C1026" s="41" t="inlineStr"/>
      <c r="D1026" s="41" t="n"/>
    </row>
    <row r="1027">
      <c r="A1027" s="41" t="inlineStr">
        <is>
          <t>regen_pending_kinds</t>
        </is>
      </c>
      <c r="B1027" s="41" t="inlineStr">
        <is>
          <t>text[]</t>
        </is>
      </c>
      <c r="C1027" s="41" t="inlineStr">
        <is>
          <t>['summary','handoff','embeddings']</t>
        </is>
      </c>
      <c r="D1027" s="41" t="inlineStr">
        <is>
          <t>任意</t>
        </is>
      </c>
    </row>
    <row r="1028">
      <c r="A1028" s="41" t="n"/>
      <c r="B1028" s="41" t="n"/>
      <c r="C1028" s="41" t="n"/>
      <c r="D1028" s="41" t="n"/>
    </row>
    <row r="1029">
      <c r="A1029" s="41" t="inlineStr">
        <is>
          <t>▼ contract_special_terms (F-S9-2)</t>
        </is>
      </c>
      <c r="B1029" s="41" t="n"/>
      <c r="C1029" s="41" t="n"/>
      <c r="D1029" s="41" t="n"/>
    </row>
    <row r="1030">
      <c r="A1030" s="41" t="inlineStr">
        <is>
          <t>カラム</t>
        </is>
      </c>
      <c r="B1030" s="41" t="inlineStr">
        <is>
          <t>型</t>
        </is>
      </c>
      <c r="C1030" s="41" t="inlineStr">
        <is>
          <t>説明</t>
        </is>
      </c>
      <c r="D1030" s="41" t="inlineStr">
        <is>
          <t>必須</t>
        </is>
      </c>
    </row>
    <row r="1031">
      <c r="A1031" s="41" t="inlineStr">
        <is>
          <t>id</t>
        </is>
      </c>
      <c r="B1031" s="41" t="inlineStr">
        <is>
          <t>uuid PK</t>
        </is>
      </c>
      <c r="C1031" s="41" t="inlineStr"/>
      <c r="D1031" s="41" t="n"/>
    </row>
    <row r="1032">
      <c r="A1032" s="41" t="inlineStr">
        <is>
          <t>contract_id</t>
        </is>
      </c>
      <c r="B1032" s="41" t="inlineStr">
        <is>
          <t>uuid REFERENCES contracts(id) ON DELETE CASCADE</t>
        </is>
      </c>
      <c r="C1032" s="41" t="inlineStr"/>
      <c r="D1032" s="41" t="n"/>
    </row>
    <row r="1033">
      <c r="A1033" s="41" t="inlineStr">
        <is>
          <t>term_kind</t>
        </is>
      </c>
      <c r="B1033" s="41" t="inlineStr">
        <is>
          <t>text CHECK (term_kind IN ('billing_cycle','delivery','contact_freq','sla','legal_clause','other'))</t>
        </is>
      </c>
      <c r="C1033" s="41" t="inlineStr"/>
      <c r="D1033" s="41" t="n"/>
    </row>
    <row r="1034">
      <c r="A1034" s="41" t="inlineStr">
        <is>
          <t>description</t>
        </is>
      </c>
      <c r="B1034" s="41" t="inlineStr">
        <is>
          <t>text</t>
        </is>
      </c>
      <c r="C1034" s="41" t="inlineStr"/>
      <c r="D1034" s="41" t="n"/>
    </row>
    <row r="1035">
      <c r="A1035" s="41" t="inlineStr">
        <is>
          <t>required_action_owner</t>
        </is>
      </c>
      <c r="B1035" s="41" t="inlineStr">
        <is>
          <t>uuid REFERENCES users(id)</t>
        </is>
      </c>
      <c r="C1035" s="41" t="inlineStr"/>
      <c r="D1035" s="41" t="n"/>
    </row>
    <row r="1036">
      <c r="A1036" s="41" t="inlineStr">
        <is>
          <t>due_date</t>
        </is>
      </c>
      <c r="B1036" s="41" t="inlineStr">
        <is>
          <t>date</t>
        </is>
      </c>
      <c r="C1036" s="41" t="inlineStr"/>
      <c r="D1036" s="41" t="n"/>
    </row>
    <row r="1037">
      <c r="A1037" s="41" t="inlineStr">
        <is>
          <t>status</t>
        </is>
      </c>
      <c r="B1037" s="41" t="inlineStr">
        <is>
          <t>text</t>
        </is>
      </c>
      <c r="C1037" s="41" t="inlineStr">
        <is>
          <t>open|done|waived</t>
        </is>
      </c>
      <c r="D1037" s="41" t="inlineStr">
        <is>
          <t>必須</t>
        </is>
      </c>
    </row>
    <row r="1038">
      <c r="A1038" s="41" t="n"/>
      <c r="B1038" s="41" t="n"/>
      <c r="C1038" s="41" t="n"/>
      <c r="D1038" s="41" t="n"/>
    </row>
    <row r="1039">
      <c r="A1039" s="41" t="inlineStr">
        <is>
          <t>▼ audit_chain_incidents (F-S10-3)</t>
        </is>
      </c>
      <c r="B1039" s="41" t="n"/>
      <c r="C1039" s="41" t="n"/>
      <c r="D1039" s="41" t="n"/>
    </row>
    <row r="1040">
      <c r="A1040" s="41" t="inlineStr">
        <is>
          <t>カラム</t>
        </is>
      </c>
      <c r="B1040" s="41" t="inlineStr">
        <is>
          <t>型</t>
        </is>
      </c>
      <c r="C1040" s="41" t="inlineStr">
        <is>
          <t>説明</t>
        </is>
      </c>
      <c r="D1040" s="41" t="inlineStr">
        <is>
          <t>必須</t>
        </is>
      </c>
    </row>
    <row r="1041">
      <c r="A1041" s="41" t="inlineStr">
        <is>
          <t>id</t>
        </is>
      </c>
      <c r="B1041" s="41" t="inlineStr">
        <is>
          <t>uuid PK</t>
        </is>
      </c>
      <c r="C1041" s="41" t="inlineStr"/>
      <c r="D1041" s="41" t="n"/>
    </row>
    <row r="1042">
      <c r="A1042" s="41" t="inlineStr">
        <is>
          <t>detected_at</t>
        </is>
      </c>
      <c r="B1042" s="41" t="inlineStr">
        <is>
          <t>timestamptz DEFAULT now()</t>
        </is>
      </c>
      <c r="C1042" s="41" t="inlineStr"/>
      <c r="D1042" s="41" t="n"/>
    </row>
    <row r="1043">
      <c r="A1043" s="41" t="inlineStr">
        <is>
          <t>broken_row_id</t>
        </is>
      </c>
      <c r="B1043" s="41" t="inlineStr">
        <is>
          <t>uuid</t>
        </is>
      </c>
      <c r="C1043" s="41" t="inlineStr">
        <is>
          <t>audit_logs内の対象行</t>
        </is>
      </c>
      <c r="D1043" s="41" t="inlineStr">
        <is>
          <t>必須</t>
        </is>
      </c>
    </row>
    <row r="1044">
      <c r="A1044" s="41" t="inlineStr">
        <is>
          <t>expected_prev_hash</t>
        </is>
      </c>
      <c r="B1044" s="41" t="inlineStr">
        <is>
          <t>text</t>
        </is>
      </c>
      <c r="C1044" s="41" t="inlineStr"/>
      <c r="D1044" s="41" t="n"/>
    </row>
    <row r="1045">
      <c r="A1045" s="41" t="inlineStr">
        <is>
          <t>actual_prev_hash</t>
        </is>
      </c>
      <c r="B1045" s="41" t="inlineStr">
        <is>
          <t>text</t>
        </is>
      </c>
      <c r="C1045" s="41" t="inlineStr"/>
      <c r="D1045" s="41" t="n"/>
    </row>
    <row r="1046">
      <c r="A1046" s="41" t="inlineStr">
        <is>
          <t>status</t>
        </is>
      </c>
      <c r="B1046" s="41" t="inlineStr">
        <is>
          <t>text CHECK (status IN ('detected','investigating','closed'))</t>
        </is>
      </c>
      <c r="C1046" s="41" t="inlineStr"/>
      <c r="D1046" s="41" t="n"/>
    </row>
    <row r="1047">
      <c r="A1047" s="41" t="inlineStr">
        <is>
          <t>dual_approver_ids</t>
        </is>
      </c>
      <c r="B1047" s="41" t="inlineStr">
        <is>
          <t>uuid[2]</t>
        </is>
      </c>
      <c r="C1047" s="41" t="inlineStr">
        <is>
          <t>close時必須</t>
        </is>
      </c>
      <c r="D1047" s="41" t="inlineStr">
        <is>
          <t>任意</t>
        </is>
      </c>
    </row>
    <row r="1048">
      <c r="A1048" s="41" t="inlineStr">
        <is>
          <t>rca_url</t>
        </is>
      </c>
      <c r="B1048" s="41" t="inlineStr">
        <is>
          <t>text</t>
        </is>
      </c>
      <c r="C1048" s="41" t="inlineStr"/>
      <c r="D1048" s="41" t="n"/>
    </row>
    <row r="1049">
      <c r="A1049" s="41" t="inlineStr">
        <is>
          <t>closed_at</t>
        </is>
      </c>
      <c r="B1049" s="41" t="inlineStr">
        <is>
          <t>timestamptz</t>
        </is>
      </c>
      <c r="C1049" s="41" t="inlineStr"/>
      <c r="D1049" s="41" t="n"/>
    </row>
    <row r="1050">
      <c r="A1050" s="41" t="n"/>
      <c r="B1050" s="41" t="n"/>
      <c r="C1050" s="41" t="n"/>
      <c r="D1050" s="41" t="n"/>
    </row>
    <row r="1051">
      <c r="A1051" s="41" t="inlineStr">
        <is>
          <t>▼ behavioral_anomalies (F-S8-4)</t>
        </is>
      </c>
      <c r="B1051" s="41" t="n"/>
      <c r="C1051" s="41" t="n"/>
      <c r="D1051" s="41" t="n"/>
    </row>
    <row r="1052">
      <c r="A1052" s="41" t="inlineStr">
        <is>
          <t>カラム</t>
        </is>
      </c>
      <c r="B1052" s="41" t="inlineStr">
        <is>
          <t>型</t>
        </is>
      </c>
      <c r="C1052" s="41" t="inlineStr">
        <is>
          <t>説明</t>
        </is>
      </c>
      <c r="D1052" s="41" t="inlineStr">
        <is>
          <t>必須</t>
        </is>
      </c>
    </row>
    <row r="1053">
      <c r="A1053" s="41" t="inlineStr">
        <is>
          <t>id</t>
        </is>
      </c>
      <c r="B1053" s="41" t="inlineStr">
        <is>
          <t>uuid PK</t>
        </is>
      </c>
      <c r="C1053" s="41" t="inlineStr"/>
      <c r="D1053" s="41" t="n"/>
    </row>
    <row r="1054">
      <c r="A1054" s="41" t="inlineStr">
        <is>
          <t>user_id</t>
        </is>
      </c>
      <c r="B1054" s="41" t="inlineStr">
        <is>
          <t>uuid REFERENCES users(id) ON DELETE CASCADE</t>
        </is>
      </c>
      <c r="C1054" s="41" t="inlineStr"/>
      <c r="D1054" s="41" t="n"/>
    </row>
    <row r="1055">
      <c r="A1055" s="41" t="inlineStr">
        <is>
          <t>metric</t>
        </is>
      </c>
      <c r="B1055" s="41" t="inlineStr">
        <is>
          <t>text</t>
        </is>
      </c>
      <c r="C1055" s="41" t="inlineStr">
        <is>
          <t>meetings_count|outbound_emails|search_uses</t>
        </is>
      </c>
      <c r="D1055" s="41" t="inlineStr">
        <is>
          <t>必須</t>
        </is>
      </c>
    </row>
    <row r="1056">
      <c r="A1056" s="41" t="inlineStr">
        <is>
          <t>baseline</t>
        </is>
      </c>
      <c r="B1056" s="41" t="inlineStr">
        <is>
          <t>numeric</t>
        </is>
      </c>
      <c r="C1056" s="41" t="inlineStr">
        <is>
          <t>直近4週平均</t>
        </is>
      </c>
      <c r="D1056" s="41" t="inlineStr">
        <is>
          <t>必須</t>
        </is>
      </c>
    </row>
    <row r="1057">
      <c r="A1057" s="41" t="inlineStr">
        <is>
          <t>current</t>
        </is>
      </c>
      <c r="B1057" s="41" t="inlineStr">
        <is>
          <t>numeric</t>
        </is>
      </c>
      <c r="C1057" s="41" t="inlineStr"/>
      <c r="D1057" s="41" t="n"/>
    </row>
    <row r="1058">
      <c r="A1058" s="41" t="inlineStr">
        <is>
          <t>delta_pct</t>
        </is>
      </c>
      <c r="B1058" s="41" t="inlineStr">
        <is>
          <t>numeric</t>
        </is>
      </c>
      <c r="C1058" s="41" t="inlineStr"/>
      <c r="D1058" s="41" t="n"/>
    </row>
    <row r="1059">
      <c r="A1059" s="41" t="inlineStr">
        <is>
          <t>detected_at</t>
        </is>
      </c>
      <c r="B1059" s="41" t="inlineStr">
        <is>
          <t>timestamptz DEFAULT now()</t>
        </is>
      </c>
      <c r="C1059" s="41" t="inlineStr"/>
      <c r="D1059" s="41" t="n"/>
    </row>
    <row r="1060">
      <c r="A1060" s="41" t="inlineStr">
        <is>
          <t>acknowledged_by_user</t>
        </is>
      </c>
      <c r="B1060" s="41" t="inlineStr">
        <is>
          <t>boolean DEFAULT false</t>
        </is>
      </c>
      <c r="C1060" s="41" t="inlineStr">
        <is>
          <t>透明性原則:本人にも通知</t>
        </is>
      </c>
      <c r="D1060" s="41" t="inlineStr">
        <is>
          <t>必須</t>
        </is>
      </c>
    </row>
    <row r="1061">
      <c r="A1061" s="41" t="n"/>
      <c r="B1061" s="41" t="n"/>
      <c r="C1061" s="41" t="n"/>
      <c r="D1061" s="41" t="n"/>
    </row>
    <row r="1062">
      <c r="A1062" s="41" t="inlineStr">
        <is>
          <t>▼ cost_actuals (F-S10-4)</t>
        </is>
      </c>
      <c r="B1062" s="41" t="n"/>
      <c r="C1062" s="41" t="n"/>
      <c r="D1062" s="41" t="n"/>
    </row>
    <row r="1063">
      <c r="A1063" s="41" t="inlineStr">
        <is>
          <t>カラム</t>
        </is>
      </c>
      <c r="B1063" s="41" t="inlineStr">
        <is>
          <t>型</t>
        </is>
      </c>
      <c r="C1063" s="41" t="inlineStr">
        <is>
          <t>説明</t>
        </is>
      </c>
      <c r="D1063" s="41" t="inlineStr">
        <is>
          <t>必須</t>
        </is>
      </c>
    </row>
    <row r="1064">
      <c r="A1064" s="41" t="inlineStr">
        <is>
          <t>id</t>
        </is>
      </c>
      <c r="B1064" s="41" t="inlineStr">
        <is>
          <t>uuid PK</t>
        </is>
      </c>
      <c r="C1064" s="41" t="inlineStr"/>
      <c r="D1064" s="41" t="n"/>
    </row>
    <row r="1065">
      <c r="A1065" s="41" t="inlineStr">
        <is>
          <t>org_id</t>
        </is>
      </c>
      <c r="B1065" s="41" t="inlineStr">
        <is>
          <t>uuid</t>
        </is>
      </c>
      <c r="C1065" s="41" t="inlineStr"/>
      <c r="D1065" s="41" t="n"/>
    </row>
    <row r="1066">
      <c r="A1066" s="41" t="inlineStr">
        <is>
          <t>scope</t>
        </is>
      </c>
      <c r="B1066" s="41" t="inlineStr">
        <is>
          <t>text</t>
        </is>
      </c>
      <c r="C1066" s="41" t="inlineStr">
        <is>
          <t>user|team|feature</t>
        </is>
      </c>
      <c r="D1066" s="41" t="inlineStr">
        <is>
          <t>必須</t>
        </is>
      </c>
    </row>
    <row r="1067">
      <c r="A1067" s="41" t="inlineStr">
        <is>
          <t>scope_id</t>
        </is>
      </c>
      <c r="B1067" s="41" t="inlineStr">
        <is>
          <t>text</t>
        </is>
      </c>
      <c r="C1067" s="41" t="inlineStr"/>
      <c r="D1067" s="41" t="n"/>
    </row>
    <row r="1068">
      <c r="A1068" s="41" t="inlineStr">
        <is>
          <t>period</t>
        </is>
      </c>
      <c r="B1068" s="41" t="inlineStr">
        <is>
          <t>date</t>
        </is>
      </c>
      <c r="C1068" s="41" t="inlineStr">
        <is>
          <t>月初日</t>
        </is>
      </c>
      <c r="D1068" s="41" t="inlineStr">
        <is>
          <t>必須</t>
        </is>
      </c>
    </row>
    <row r="1069">
      <c r="A1069" s="41" t="inlineStr">
        <is>
          <t>amount</t>
        </is>
      </c>
      <c r="B1069" s="41" t="inlineStr">
        <is>
          <t>numeric</t>
        </is>
      </c>
      <c r="C1069" s="41" t="inlineStr"/>
      <c r="D1069" s="41" t="n"/>
    </row>
    <row r="1070">
      <c r="A1070" s="41" t="inlineStr">
        <is>
          <t>cap</t>
        </is>
      </c>
      <c r="B1070" s="41" t="inlineStr">
        <is>
          <t>numeric</t>
        </is>
      </c>
      <c r="C1070" s="41" t="inlineStr"/>
      <c r="D1070" s="41" t="n"/>
    </row>
    <row r="1071">
      <c r="A1071" s="41" t="inlineStr">
        <is>
          <t>reached_pct</t>
        </is>
      </c>
      <c r="B1071" s="41" t="inlineStr">
        <is>
          <t>numeric</t>
        </is>
      </c>
      <c r="C1071" s="41" t="inlineStr"/>
      <c r="D1071" s="41" t="n"/>
    </row>
    <row r="1072">
      <c r="A1072" s="41" t="n"/>
      <c r="B1072" s="41" t="n"/>
      <c r="C1072" s="41" t="n"/>
      <c r="D1072" s="41" t="n"/>
    </row>
    <row r="1073">
      <c r="A1073" s="41" t="inlineStr">
        <is>
          <t>▼ export_templates (F-UX-1)</t>
        </is>
      </c>
      <c r="B1073" s="41" t="n"/>
      <c r="C1073" s="41" t="n"/>
      <c r="D1073" s="41" t="n"/>
    </row>
    <row r="1074">
      <c r="A1074" s="41" t="inlineStr">
        <is>
          <t>カラム</t>
        </is>
      </c>
      <c r="B1074" s="41" t="inlineStr">
        <is>
          <t>型</t>
        </is>
      </c>
      <c r="C1074" s="41" t="inlineStr">
        <is>
          <t>説明</t>
        </is>
      </c>
      <c r="D1074" s="41" t="inlineStr">
        <is>
          <t>必須</t>
        </is>
      </c>
    </row>
    <row r="1075">
      <c r="A1075" s="41" t="inlineStr">
        <is>
          <t>id</t>
        </is>
      </c>
      <c r="B1075" s="41" t="inlineStr">
        <is>
          <t>uuid PK</t>
        </is>
      </c>
      <c r="C1075" s="41" t="inlineStr"/>
      <c r="D1075" s="41" t="n"/>
    </row>
    <row r="1076">
      <c r="A1076" s="41" t="inlineStr">
        <is>
          <t>locale</t>
        </is>
      </c>
      <c r="B1076" s="41" t="inlineStr">
        <is>
          <t>text</t>
        </is>
      </c>
      <c r="C1076" s="41" t="inlineStr">
        <is>
          <t>ja|en|...</t>
        </is>
      </c>
      <c r="D1076" s="41" t="inlineStr">
        <is>
          <t>必須</t>
        </is>
      </c>
    </row>
    <row r="1077">
      <c r="A1077" s="41" t="inlineStr">
        <is>
          <t>kind</t>
        </is>
      </c>
      <c r="B1077" s="41" t="inlineStr">
        <is>
          <t>text CHECK (kind IN ('pdf','email','watermark'))</t>
        </is>
      </c>
      <c r="C1077" s="41" t="inlineStr"/>
      <c r="D1077" s="41" t="n"/>
    </row>
    <row r="1078">
      <c r="A1078" s="41" t="inlineStr">
        <is>
          <t>name</t>
        </is>
      </c>
      <c r="B1078" s="41" t="inlineStr">
        <is>
          <t>text</t>
        </is>
      </c>
      <c r="C1078" s="41" t="inlineStr"/>
      <c r="D1078" s="41" t="n"/>
    </row>
    <row r="1079">
      <c r="A1079" s="41" t="inlineStr">
        <is>
          <t>body</t>
        </is>
      </c>
      <c r="B1079" s="41" t="inlineStr">
        <is>
          <t>text</t>
        </is>
      </c>
      <c r="C1079" s="41" t="inlineStr">
        <is>
          <t>テンプレ本体</t>
        </is>
      </c>
      <c r="D1079" s="41" t="inlineStr">
        <is>
          <t>必須</t>
        </is>
      </c>
    </row>
    <row r="1080">
      <c r="A1080" s="41" t="inlineStr">
        <is>
          <t>updated_at</t>
        </is>
      </c>
      <c r="B1080" s="41" t="inlineStr">
        <is>
          <t>timestamptz DEFAULT now()</t>
        </is>
      </c>
      <c r="C1080" s="41" t="inlineStr"/>
      <c r="D1080" s="41" t="n"/>
    </row>
    <row r="1081">
      <c r="A1081" s="41" t="inlineStr">
        <is>
          <t>UNIQUE</t>
        </is>
      </c>
      <c r="B1081" s="41" t="inlineStr">
        <is>
          <t>(locale, kind, name)</t>
        </is>
      </c>
      <c r="C1081" s="41" t="inlineStr"/>
      <c r="D1081" s="41" t="n"/>
    </row>
    <row r="1082">
      <c r="A1082" s="41" t="n"/>
      <c r="B1082" s="41" t="n"/>
      <c r="C1082" s="41" t="n"/>
      <c r="D1082" s="41" t="n"/>
    </row>
    <row r="1083">
      <c r="A1083" s="41" t="inlineStr">
        <is>
          <t>▼ notification_dispatch_log (F-UX-4)</t>
        </is>
      </c>
      <c r="B1083" s="41" t="n"/>
      <c r="C1083" s="41" t="n"/>
      <c r="D1083" s="41" t="n"/>
    </row>
    <row r="1084">
      <c r="A1084" s="41" t="inlineStr">
        <is>
          <t>カラム</t>
        </is>
      </c>
      <c r="B1084" s="41" t="inlineStr">
        <is>
          <t>型</t>
        </is>
      </c>
      <c r="C1084" s="41" t="inlineStr">
        <is>
          <t>説明</t>
        </is>
      </c>
      <c r="D1084" s="41" t="inlineStr">
        <is>
          <t>必須</t>
        </is>
      </c>
    </row>
    <row r="1085">
      <c r="A1085" s="41" t="inlineStr">
        <is>
          <t>id</t>
        </is>
      </c>
      <c r="B1085" s="41" t="inlineStr">
        <is>
          <t>uuid PK</t>
        </is>
      </c>
      <c r="C1085" s="41" t="inlineStr"/>
      <c r="D1085" s="41" t="n"/>
    </row>
    <row r="1086">
      <c r="A1086" s="41" t="inlineStr">
        <is>
          <t>event_id</t>
        </is>
      </c>
      <c r="B1086" s="41" t="inlineStr">
        <is>
          <t>text</t>
        </is>
      </c>
      <c r="C1086" s="41" t="inlineStr">
        <is>
          <t>重複抑制キー</t>
        </is>
      </c>
      <c r="D1086" s="41" t="inlineStr">
        <is>
          <t>必須</t>
        </is>
      </c>
    </row>
    <row r="1087">
      <c r="A1087" s="41" t="inlineStr">
        <is>
          <t>user_id</t>
        </is>
      </c>
      <c r="B1087" s="41" t="inlineStr">
        <is>
          <t>uuid REFERENCES users(id)</t>
        </is>
      </c>
      <c r="C1087" s="41" t="inlineStr"/>
      <c r="D1087" s="41" t="n"/>
    </row>
    <row r="1088">
      <c r="A1088" s="41" t="inlineStr">
        <is>
          <t>channel</t>
        </is>
      </c>
      <c r="B1088" s="41" t="inlineStr">
        <is>
          <t>text CHECK (channel IN ('push','slack','email','sms'))</t>
        </is>
      </c>
      <c r="C1088" s="41" t="inlineStr"/>
      <c r="D1088" s="41" t="n"/>
    </row>
    <row r="1089">
      <c r="A1089" s="41" t="inlineStr">
        <is>
          <t>dispatched_at</t>
        </is>
      </c>
      <c r="B1089" s="41" t="inlineStr">
        <is>
          <t>timestamptz DEFAULT now()</t>
        </is>
      </c>
      <c r="C1089" s="41" t="inlineStr"/>
      <c r="D1089" s="41" t="n"/>
    </row>
    <row r="1090">
      <c r="A1090" s="41" t="inlineStr">
        <is>
          <t>suppressed_for</t>
        </is>
      </c>
      <c r="B1090" s="41" t="inlineStr">
        <is>
          <t>text</t>
        </is>
      </c>
      <c r="C1090" s="41" t="inlineStr">
        <is>
          <t>他チャネルが抑制された場合</t>
        </is>
      </c>
      <c r="D1090" s="41" t="inlineStr">
        <is>
          <t>任意</t>
        </is>
      </c>
    </row>
    <row r="1091">
      <c r="A1091" s="41" t="inlineStr">
        <is>
          <t>UNIQUE</t>
        </is>
      </c>
      <c r="B1091" s="41" t="inlineStr">
        <is>
          <t>(event_id, channel, user_id)</t>
        </is>
      </c>
      <c r="C1091" s="41" t="inlineStr"/>
      <c r="D1091" s="41" t="n"/>
    </row>
    <row r="1092">
      <c r="A1092" s="41" t="n"/>
      <c r="B1092" s="41" t="n"/>
      <c r="C1092" s="41" t="n"/>
      <c r="D1092" s="41" t="n"/>
    </row>
    <row r="1093">
      <c r="A1093" s="41" t="inlineStr">
        <is>
          <t>▼ users 追加列(v2.3)</t>
        </is>
      </c>
      <c r="B1093" s="41" t="n"/>
      <c r="C1093" s="41" t="n"/>
      <c r="D1093" s="41" t="n"/>
    </row>
    <row r="1094">
      <c r="A1094" s="41" t="inlineStr">
        <is>
          <t>カラム</t>
        </is>
      </c>
      <c r="B1094" s="41" t="inlineStr">
        <is>
          <t>型</t>
        </is>
      </c>
      <c r="C1094" s="41" t="inlineStr">
        <is>
          <t>説明</t>
        </is>
      </c>
      <c r="D1094" s="41" t="inlineStr">
        <is>
          <t>必須</t>
        </is>
      </c>
    </row>
    <row r="1095">
      <c r="A1095" s="41" t="inlineStr">
        <is>
          <t>consent_blanket_for_internal_meetings</t>
        </is>
      </c>
      <c r="B1095" s="41" t="inlineStr">
        <is>
          <t>boolean DEFAULT false</t>
        </is>
      </c>
      <c r="C1095" s="41" t="inlineStr">
        <is>
          <t>社内会議の包括同意(F-S4-3)</t>
        </is>
      </c>
      <c r="D1095" s="41" t="inlineStr">
        <is>
          <t>必須</t>
        </is>
      </c>
    </row>
    <row r="1096">
      <c r="A1096" s="41" t="inlineStr">
        <is>
          <t>observation_consent_level</t>
        </is>
      </c>
      <c r="B1096" s="41" t="inlineStr">
        <is>
          <t>text CHECK (...) DEFAULT 'pre_notify'</t>
        </is>
      </c>
      <c r="C1096" s="41" t="inlineStr">
        <is>
          <t>常時/事前通知/個別承認(F-S8-2)</t>
        </is>
      </c>
      <c r="D1096" s="41" t="inlineStr">
        <is>
          <t>必須</t>
        </is>
      </c>
    </row>
    <row r="1097">
      <c r="A1097" s="41" t="inlineStr">
        <is>
          <t>new_user_until</t>
        </is>
      </c>
      <c r="B1097" s="41" t="inlineStr">
        <is>
          <t>date</t>
        </is>
      </c>
      <c r="C1097" s="41" t="inlineStr">
        <is>
          <t>新人ハンドリング期限(F-S3-1)</t>
        </is>
      </c>
      <c r="D1097" s="41" t="inlineStr">
        <is>
          <t>任意</t>
        </is>
      </c>
    </row>
    <row r="1098">
      <c r="A1098" s="41" t="inlineStr">
        <is>
          <t>handedness</t>
        </is>
      </c>
      <c r="B1098" s="41" t="inlineStr">
        <is>
          <t>text CHECK (handedness IN ('left','right')) DEFAULT 'right'</t>
        </is>
      </c>
      <c r="C1098" s="41" t="inlineStr">
        <is>
          <t>片手UI(F-S1-1)</t>
        </is>
      </c>
      <c r="D1098" s="41" t="inlineStr">
        <is>
          <t>必須</t>
        </is>
      </c>
    </row>
    <row r="1099">
      <c r="A1099" s="41" t="n"/>
      <c r="B1099" s="41" t="n"/>
      <c r="C1099" s="41" t="n"/>
      <c r="D1099" s="41" t="n"/>
    </row>
    <row r="1100">
      <c r="A1100" s="41" t="inlineStr">
        <is>
          <t>▼ calendar_holds 追加列(F-S2-2)</t>
        </is>
      </c>
      <c r="B1100" s="41" t="n"/>
      <c r="C1100" s="41" t="n"/>
      <c r="D1100" s="41" t="n"/>
    </row>
    <row r="1101">
      <c r="A1101" s="41" t="inlineStr">
        <is>
          <t>カラム</t>
        </is>
      </c>
      <c r="B1101" s="41" t="inlineStr">
        <is>
          <t>型</t>
        </is>
      </c>
      <c r="C1101" s="41" t="inlineStr">
        <is>
          <t>説明</t>
        </is>
      </c>
      <c r="D1101" s="41" t="inlineStr">
        <is>
          <t>必須</t>
        </is>
      </c>
    </row>
    <row r="1102">
      <c r="A1102" s="41" t="inlineStr">
        <is>
          <t>transparency</t>
        </is>
      </c>
      <c r="B1102" s="41" t="inlineStr">
        <is>
          <t>text DEFAULT 'transparent'</t>
        </is>
      </c>
      <c r="C1102" s="41" t="inlineStr">
        <is>
          <t>Google CalendarでBlock可視性</t>
        </is>
      </c>
      <c r="D1102" s="41" t="inlineStr">
        <is>
          <t>必須</t>
        </is>
      </c>
    </row>
    <row r="1103">
      <c r="A1103" s="41" t="inlineStr">
        <is>
          <t>hold_visibility</t>
        </is>
      </c>
      <c r="B1103" s="41" t="inlineStr">
        <is>
          <t>text CHECK (hold_visibility IN ('owner_only','attendees_dimmed','attendees_visible'))</t>
        </is>
      </c>
      <c r="C1103" s="41" t="inlineStr">
        <is>
          <t>同席者の見え方</t>
        </is>
      </c>
      <c r="D1103" s="41" t="inlineStr">
        <is>
          <t>必須</t>
        </is>
      </c>
    </row>
    <row r="1104">
      <c r="A1104" s="41" t="inlineStr">
        <is>
          <t>hold_title</t>
        </is>
      </c>
      <c r="B1104" s="41" t="inlineStr">
        <is>
          <t>text DEFAULT '[仮]商談調整中'</t>
        </is>
      </c>
      <c r="C1104" s="41" t="inlineStr">
        <is>
          <t>表示文言</t>
        </is>
      </c>
      <c r="D1104" s="41" t="inlineStr">
        <is>
          <t>必須</t>
        </is>
      </c>
    </row>
    <row r="1105">
      <c r="A1105" s="41" t="n"/>
      <c r="B1105" s="41" t="n"/>
      <c r="C1105" s="41" t="n"/>
      <c r="D1105" s="41" t="n"/>
    </row>
    <row r="1106">
      <c r="A1106" s="41" t="inlineStr">
        <is>
          <t>▼ recording_stages 追加列(F-S5-2)</t>
        </is>
      </c>
      <c r="B1106" s="41" t="n"/>
      <c r="C1106" s="41" t="n"/>
      <c r="D1106" s="41" t="n"/>
    </row>
    <row r="1107">
      <c r="A1107" s="41" t="inlineStr">
        <is>
          <t>カラム</t>
        </is>
      </c>
      <c r="B1107" s="41" t="inlineStr">
        <is>
          <t>型</t>
        </is>
      </c>
      <c r="C1107" s="41" t="inlineStr">
        <is>
          <t>説明</t>
        </is>
      </c>
      <c r="D1107" s="41" t="inlineStr">
        <is>
          <t>必須</t>
        </is>
      </c>
    </row>
    <row r="1108">
      <c r="A1108" s="41" t="inlineStr">
        <is>
          <t>estimated_completion_at</t>
        </is>
      </c>
      <c r="B1108" s="41" t="inlineStr">
        <is>
          <t>timestamptz</t>
        </is>
      </c>
      <c r="C1108" s="41" t="inlineStr">
        <is>
          <t>p95から動的算出</t>
        </is>
      </c>
      <c r="D1108" s="41" t="inlineStr">
        <is>
          <t>任意</t>
        </is>
      </c>
    </row>
    <row r="1109">
      <c r="A1109" s="41" t="inlineStr">
        <is>
          <t>partial_artifacts_allowed</t>
        </is>
      </c>
      <c r="B1109" s="41" t="inlineStr">
        <is>
          <t>boolean DEFAULT false</t>
        </is>
      </c>
      <c r="C1109" s="41" t="inlineStr">
        <is>
          <t>stage3未完でもsummary/handoff部分生成可</t>
        </is>
      </c>
      <c r="D1109" s="41" t="inlineStr">
        <is>
          <t>必須</t>
        </is>
      </c>
    </row>
    <row r="1110">
      <c r="A1110" s="41" t="n"/>
      <c r="B1110" s="41" t="n"/>
      <c r="C1110" s="41" t="n"/>
      <c r="D1110" s="41" t="n"/>
    </row>
    <row r="1111">
      <c r="A1111" s="41" t="inlineStr">
        <is>
          <t>▼ recording_segments 追加列(F-S6-2)</t>
        </is>
      </c>
      <c r="B1111" s="41" t="n"/>
      <c r="C1111" s="41" t="n"/>
      <c r="D1111" s="41" t="n"/>
    </row>
    <row r="1112">
      <c r="A1112" s="41" t="inlineStr">
        <is>
          <t>カラム</t>
        </is>
      </c>
      <c r="B1112" s="41" t="inlineStr">
        <is>
          <t>型</t>
        </is>
      </c>
      <c r="C1112" s="41" t="inlineStr">
        <is>
          <t>説明</t>
        </is>
      </c>
      <c r="D1112" s="41" t="inlineStr">
        <is>
          <t>必須</t>
        </is>
      </c>
    </row>
    <row r="1113">
      <c r="A1113" s="41" t="inlineStr">
        <is>
          <t>former_employee_utterance</t>
        </is>
      </c>
      <c r="B1113" s="41" t="inlineStr">
        <is>
          <t>boolean DEFAULT false</t>
        </is>
      </c>
      <c r="C1113" s="41" t="inlineStr">
        <is>
          <t>退職者発言フラグ</t>
        </is>
      </c>
      <c r="D1113" s="41" t="inlineStr">
        <is>
          <t>必須</t>
        </is>
      </c>
    </row>
    <row r="1114">
      <c r="A1114" s="41" t="inlineStr">
        <is>
          <t>successor_user_id</t>
        </is>
      </c>
      <c r="B1114" s="41" t="inlineStr">
        <is>
          <t>uuid REFERENCES users(id)</t>
        </is>
      </c>
      <c r="C1114" s="41" t="inlineStr">
        <is>
          <t>承継者</t>
        </is>
      </c>
      <c r="D1114" s="41" t="inlineStr">
        <is>
          <t>任意</t>
        </is>
      </c>
    </row>
    <row r="1115">
      <c r="A1115" s="41" t="n"/>
      <c r="B1115" s="41" t="n"/>
      <c r="C1115" s="41" t="n"/>
      <c r="D1115" s="41" t="n"/>
    </row>
    <row r="1116">
      <c r="A1116" s="41" t="inlineStr">
        <is>
          <t>▼ handoffs 追加列(F-S9-1, F-S9-3)</t>
        </is>
      </c>
      <c r="B1116" s="41" t="n"/>
      <c r="C1116" s="41" t="n"/>
      <c r="D1116" s="41" t="n"/>
    </row>
    <row r="1117">
      <c r="A1117" s="41" t="inlineStr">
        <is>
          <t>カラム</t>
        </is>
      </c>
      <c r="B1117" s="41" t="inlineStr">
        <is>
          <t>型</t>
        </is>
      </c>
      <c r="C1117" s="41" t="inlineStr">
        <is>
          <t>説明</t>
        </is>
      </c>
      <c r="D1117" s="41" t="inlineStr">
        <is>
          <t>必須</t>
        </is>
      </c>
    </row>
    <row r="1118">
      <c r="A1118" s="41" t="inlineStr">
        <is>
          <t>accept_deadline_at</t>
        </is>
      </c>
      <c r="B1118" s="41" t="inlineStr">
        <is>
          <t>timestamptz</t>
        </is>
      </c>
      <c r="C1118" s="41" t="inlineStr">
        <is>
          <t>48h SLA</t>
        </is>
      </c>
      <c r="D1118" s="41" t="inlineStr">
        <is>
          <t>必須</t>
        </is>
      </c>
    </row>
    <row r="1119">
      <c r="A1119" s="41" t="inlineStr">
        <is>
          <t>escalation_state</t>
        </is>
      </c>
      <c r="B1119" s="41" t="inlineStr">
        <is>
          <t>text CHECK (escalation_state IN ('none','cc_supervisor','force_assigned'))</t>
        </is>
      </c>
      <c r="C1119" s="41" t="inlineStr"/>
      <c r="D1119" s="41" t="n"/>
    </row>
    <row r="1120">
      <c r="A1120" s="41" t="inlineStr">
        <is>
          <t>bundle_excluded_items</t>
        </is>
      </c>
      <c r="B1120" s="41" t="inlineStr">
        <is>
          <t>jsonb</t>
        </is>
      </c>
      <c r="C1120" s="41" t="inlineStr">
        <is>
          <t>[{kind,id,reason}]</t>
        </is>
      </c>
      <c r="D1120" s="41" t="inlineStr">
        <is>
          <t>任意</t>
        </is>
      </c>
    </row>
    <row r="1121">
      <c r="A1121" s="41" t="n"/>
      <c r="B1121" s="41" t="n"/>
      <c r="C1121" s="41" t="n"/>
      <c r="D1121" s="41" t="n"/>
    </row>
    <row r="1122">
      <c r="A1122" s="41" t="inlineStr">
        <is>
          <t>▼ legacy_import_jobs 追加列(F-S12-2)</t>
        </is>
      </c>
      <c r="B1122" s="41" t="n"/>
      <c r="C1122" s="41" t="n"/>
      <c r="D1122" s="41" t="n"/>
    </row>
    <row r="1123">
      <c r="A1123" s="41" t="inlineStr">
        <is>
          <t>カラム</t>
        </is>
      </c>
      <c r="B1123" s="41" t="inlineStr">
        <is>
          <t>型</t>
        </is>
      </c>
      <c r="C1123" s="41" t="inlineStr">
        <is>
          <t>説明</t>
        </is>
      </c>
      <c r="D1123" s="41" t="inlineStr">
        <is>
          <t>必須</t>
        </is>
      </c>
    </row>
    <row r="1124">
      <c r="A1124" s="41" t="inlineStr">
        <is>
          <t>staged_state</t>
        </is>
      </c>
      <c r="B1124" s="41" t="inlineStr">
        <is>
          <t>jsonb</t>
        </is>
      </c>
      <c r="C1124" s="41" t="inlineStr">
        <is>
          <t>field_mapping_json/dedupe_keys/cursor</t>
        </is>
      </c>
      <c r="D1124" s="41" t="inlineStr">
        <is>
          <t>必須</t>
        </is>
      </c>
    </row>
    <row r="1125">
      <c r="A1125" s="41" t="inlineStr">
        <is>
          <t>dedupe_keys</t>
        </is>
      </c>
      <c r="B1125" s="41" t="inlineStr">
        <is>
          <t>text[] DEFAULT ARRAY['email','phone','company_name+contact_name']</t>
        </is>
      </c>
      <c r="C1125" s="41" t="inlineStr">
        <is>
          <t>優先順位</t>
        </is>
      </c>
      <c r="D1125" s="41" t="inlineStr">
        <is>
          <t>必須</t>
        </is>
      </c>
    </row>
    <row r="1126">
      <c r="A1126" s="41" t="inlineStr">
        <is>
          <t>merge_undo_window_hours</t>
        </is>
      </c>
      <c r="B1126" s="41" t="inlineStr">
        <is>
          <t>int DEFAULT 72</t>
        </is>
      </c>
      <c r="C1126" s="41" t="inlineStr"/>
      <c r="D1126" s="41" t="n"/>
    </row>
    <row r="1127">
      <c r="A1127" s="41" t="n"/>
      <c r="B1127" s="41" t="n"/>
      <c r="C1127" s="41" t="n"/>
      <c r="D1127" s="41" t="n"/>
    </row>
    <row r="1128">
      <c r="A1128" s="41" t="inlineStr">
        <is>
          <t>▼ data_deletion_requests 追加列(F-S11-1, F-S11-4)</t>
        </is>
      </c>
      <c r="B1128" s="41" t="n"/>
      <c r="C1128" s="41" t="n"/>
      <c r="D1128" s="41" t="n"/>
    </row>
    <row r="1129">
      <c r="A1129" s="41" t="inlineStr">
        <is>
          <t>カラム</t>
        </is>
      </c>
      <c r="B1129" s="41" t="inlineStr">
        <is>
          <t>型</t>
        </is>
      </c>
      <c r="C1129" s="41" t="inlineStr">
        <is>
          <t>説明</t>
        </is>
      </c>
      <c r="D1129" s="41" t="inlineStr">
        <is>
          <t>必須</t>
        </is>
      </c>
    </row>
    <row r="1130">
      <c r="A1130" s="41" t="inlineStr">
        <is>
          <t>rejection_reason_code</t>
        </is>
      </c>
      <c r="B1130" s="41" t="inlineStr">
        <is>
          <t>text CHECK (rejection_reason_code IN ('worm_retention_required','legal_hold','identity_verification_failed','out_of_scope','already_deleted'))</t>
        </is>
      </c>
      <c r="C1130" s="41" t="inlineStr"/>
      <c r="D1130" s="41" t="n"/>
    </row>
    <row r="1131">
      <c r="A1131" s="41" t="inlineStr">
        <is>
          <t>identity_verification_method</t>
        </is>
      </c>
      <c r="B1131" s="41" t="inlineStr">
        <is>
          <t>text CHECK (identity_verification_method IN ('email_loopback','signed_pdf','id_document','share_token_originator'))</t>
        </is>
      </c>
      <c r="C1131" s="41" t="inlineStr"/>
      <c r="D1131" s="41" t="n"/>
    </row>
    <row r="1133">
      <c r="A1133" s="41" t="inlineStr">
        <is>
          <t>■ v2.4 追加・改修テーブル(再シミュ残課題反映)</t>
        </is>
      </c>
      <c r="B1133" s="41" t="n"/>
      <c r="C1133" s="41" t="n"/>
      <c r="D1133" s="41" t="n"/>
    </row>
    <row r="1134">
      <c r="A1134" s="41" t="inlineStr">
        <is>
          <t>テーブル名</t>
        </is>
      </c>
      <c r="B1134" s="41" t="inlineStr">
        <is>
          <t>概要</t>
        </is>
      </c>
      <c r="C1134" s="41" t="inlineStr">
        <is>
          <t>Phase</t>
        </is>
      </c>
      <c r="D1134" s="41" t="n"/>
    </row>
    <row r="1135">
      <c r="A1135" s="41" t="inlineStr">
        <is>
          <t>pre_consent_audio_buffers</t>
        </is>
      </c>
      <c r="B1135" s="41" t="inlineStr">
        <is>
          <t>録画開始〜同意取得の事前バッファ。verbal同意時はpurge保留(NF-S4-1)</t>
        </is>
      </c>
      <c r="C1135" s="41" t="inlineStr">
        <is>
          <t>P2</t>
        </is>
      </c>
      <c r="D1135" s="41" t="n"/>
    </row>
    <row r="1136">
      <c r="A1136" s="41" t="inlineStr">
        <is>
          <t>roleplay_consent</t>
        </is>
      </c>
      <c r="B1136" s="41" t="inlineStr">
        <is>
          <t>ロープレ共有同意(opt-in必須化)(F-S7-4再)</t>
        </is>
      </c>
      <c r="C1136" s="41" t="inlineStr">
        <is>
          <t>P3</t>
        </is>
      </c>
      <c r="D1136" s="41" t="n"/>
    </row>
    <row r="1137">
      <c r="A1137" s="41" t="inlineStr">
        <is>
          <t>voice_memo_transcript_translations</t>
        </is>
      </c>
      <c r="B1137" s="41" t="inlineStr">
        <is>
          <t>音声メモ多言語化(NF-UX-1)</t>
        </is>
      </c>
      <c r="C1137" s="41" t="inlineStr">
        <is>
          <t>P3</t>
        </is>
      </c>
      <c r="D1137" s="41" t="n"/>
    </row>
    <row r="1138">
      <c r="A1138" s="41" t="inlineStr">
        <is>
          <t>contract_special_terms_taxonomy</t>
        </is>
      </c>
      <c r="B1138" s="41" t="inlineStr">
        <is>
          <t>taxonomyの版管理(NF-S9-1)</t>
        </is>
      </c>
      <c r="C1138" s="41" t="inlineStr">
        <is>
          <t>P3</t>
        </is>
      </c>
      <c r="D1138" s="41" t="n"/>
    </row>
    <row r="1139">
      <c r="A1139" s="41" t="n"/>
      <c r="B1139" s="41" t="n"/>
      <c r="C1139" s="41" t="n"/>
      <c r="D1139" s="41" t="n"/>
    </row>
    <row r="1140">
      <c r="A1140" s="41" t="inlineStr">
        <is>
          <t>▼ pre_consent_audio_buffers (NF-S4-1)</t>
        </is>
      </c>
      <c r="B1140" s="41" t="n"/>
      <c r="C1140" s="41" t="n"/>
      <c r="D1140" s="41" t="n"/>
    </row>
    <row r="1141">
      <c r="A1141" s="41" t="inlineStr">
        <is>
          <t>カラム</t>
        </is>
      </c>
      <c r="B1141" s="41" t="inlineStr">
        <is>
          <t>型</t>
        </is>
      </c>
      <c r="C1141" s="41" t="inlineStr">
        <is>
          <t>説明</t>
        </is>
      </c>
      <c r="D1141" s="41" t="inlineStr">
        <is>
          <t>必須</t>
        </is>
      </c>
    </row>
    <row r="1142">
      <c r="A1142" s="41" t="inlineStr">
        <is>
          <t>id</t>
        </is>
      </c>
      <c r="B1142" s="41" t="inlineStr">
        <is>
          <t>uuid PK</t>
        </is>
      </c>
      <c r="C1142" s="41" t="inlineStr"/>
      <c r="D1142" s="41" t="n"/>
    </row>
    <row r="1143">
      <c r="A1143" s="41" t="inlineStr">
        <is>
          <t>meeting_id</t>
        </is>
      </c>
      <c r="B1143" s="41" t="inlineStr">
        <is>
          <t>uuid REFERENCES meetings(id) ON DELETE CASCADE</t>
        </is>
      </c>
      <c r="C1143" s="41" t="inlineStr"/>
      <c r="D1143" s="41" t="n"/>
    </row>
    <row r="1144">
      <c r="A1144" s="41" t="inlineStr">
        <is>
          <t>start_at</t>
        </is>
      </c>
      <c r="B1144" s="41" t="inlineStr">
        <is>
          <t>timestamptz</t>
        </is>
      </c>
      <c r="C1144" s="41" t="inlineStr"/>
      <c r="D1144" s="41" t="n"/>
    </row>
    <row r="1145">
      <c r="A1145" s="41" t="inlineStr">
        <is>
          <t>end_at</t>
        </is>
      </c>
      <c r="B1145" s="41" t="inlineStr">
        <is>
          <t>timestamptz</t>
        </is>
      </c>
      <c r="C1145" s="41" t="inlineStr"/>
      <c r="D1145" s="41" t="n"/>
    </row>
    <row r="1146">
      <c r="A1146" s="41" t="inlineStr">
        <is>
          <t>storage_url</t>
        </is>
      </c>
      <c r="B1146" s="41" t="inlineStr">
        <is>
          <t>text</t>
        </is>
      </c>
      <c r="C1146" s="41" t="inlineStr">
        <is>
          <t>R2 URL</t>
        </is>
      </c>
      <c r="D1146" s="41" t="inlineStr">
        <is>
          <t>必須</t>
        </is>
      </c>
    </row>
    <row r="1147">
      <c r="A1147" s="41" t="inlineStr">
        <is>
          <t>purge_at</t>
        </is>
      </c>
      <c r="B1147" s="41" t="inlineStr">
        <is>
          <t>timestamptz</t>
        </is>
      </c>
      <c r="C1147" s="41" t="inlineStr">
        <is>
          <t>通常 録画開始+5min</t>
        </is>
      </c>
      <c r="D1147" s="41" t="inlineStr">
        <is>
          <t>必須</t>
        </is>
      </c>
    </row>
    <row r="1148">
      <c r="A1148" s="41" t="inlineStr">
        <is>
          <t>verbal_proof_locked</t>
        </is>
      </c>
      <c r="B1148" s="41" t="inlineStr">
        <is>
          <t>boolean DEFAULT false</t>
        </is>
      </c>
      <c r="C1148" s="41" t="inlineStr">
        <is>
          <t>verbal同意の証跡として固定</t>
        </is>
      </c>
      <c r="D1148" s="41" t="inlineStr">
        <is>
          <t>必須</t>
        </is>
      </c>
    </row>
    <row r="1149">
      <c r="A1149" s="41" t="inlineStr">
        <is>
          <t>locked_until</t>
        </is>
      </c>
      <c r="B1149" s="41" t="inlineStr">
        <is>
          <t>timestamptz</t>
        </is>
      </c>
      <c r="C1149" s="41" t="inlineStr">
        <is>
          <t>retention_policiesに連動</t>
        </is>
      </c>
      <c r="D1149" s="41" t="inlineStr">
        <is>
          <t>任意</t>
        </is>
      </c>
    </row>
    <row r="1150">
      <c r="A1150" s="41" t="inlineStr">
        <is>
          <t>audio_proof_segment_id</t>
        </is>
      </c>
      <c r="B1150" s="41" t="inlineStr">
        <is>
          <t>uuid</t>
        </is>
      </c>
      <c r="C1150" s="41" t="inlineStr">
        <is>
          <t>verbal proof対応セグメント</t>
        </is>
      </c>
      <c r="D1150" s="41" t="inlineStr">
        <is>
          <t>任意</t>
        </is>
      </c>
    </row>
    <row r="1151">
      <c r="A1151" s="41" t="n"/>
      <c r="B1151" s="41" t="n"/>
      <c r="C1151" s="41" t="n"/>
      <c r="D1151" s="41" t="n"/>
    </row>
    <row r="1152">
      <c r="A1152" s="41" t="inlineStr">
        <is>
          <t>▼ roleplay_consent (F-S7-4再)</t>
        </is>
      </c>
      <c r="B1152" s="41" t="n"/>
      <c r="C1152" s="41" t="n"/>
      <c r="D1152" s="41" t="n"/>
    </row>
    <row r="1153">
      <c r="A1153" s="41" t="inlineStr">
        <is>
          <t>カラム</t>
        </is>
      </c>
      <c r="B1153" s="41" t="inlineStr">
        <is>
          <t>型</t>
        </is>
      </c>
      <c r="C1153" s="41" t="inlineStr">
        <is>
          <t>説明</t>
        </is>
      </c>
      <c r="D1153" s="41" t="inlineStr">
        <is>
          <t>必須</t>
        </is>
      </c>
    </row>
    <row r="1154">
      <c r="A1154" s="41" t="inlineStr">
        <is>
          <t>user_id</t>
        </is>
      </c>
      <c r="B1154" s="41" t="inlineStr">
        <is>
          <t>uuid PK REFERENCES users(id) ON DELETE CASCADE</t>
        </is>
      </c>
      <c r="C1154" s="41" t="inlineStr"/>
      <c r="D1154" s="41" t="n"/>
    </row>
    <row r="1155">
      <c r="A1155" s="41" t="inlineStr">
        <is>
          <t>coach_share</t>
        </is>
      </c>
      <c r="B1155" s="41" t="inlineStr">
        <is>
          <t>text CHECK (coach_share IN ('none','review_only','team_blurred','full_share'))</t>
        </is>
      </c>
      <c r="C1155" s="41" t="inlineStr">
        <is>
          <t>DEFAULT 'review_only' = opt-in必須</t>
        </is>
      </c>
      <c r="D1155" s="41" t="inlineStr">
        <is>
          <t>必須</t>
        </is>
      </c>
    </row>
    <row r="1156">
      <c r="A1156" s="41" t="inlineStr">
        <is>
          <t>scope</t>
        </is>
      </c>
      <c r="B1156" s="41" t="inlineStr">
        <is>
          <t>text</t>
        </is>
      </c>
      <c r="C1156" s="41" t="inlineStr">
        <is>
          <t>persona指定/全シナリオ</t>
        </is>
      </c>
      <c r="D1156" s="41" t="inlineStr">
        <is>
          <t>必須</t>
        </is>
      </c>
    </row>
    <row r="1157">
      <c r="A1157" s="41" t="inlineStr">
        <is>
          <t>consented_at</t>
        </is>
      </c>
      <c r="B1157" s="41" t="inlineStr">
        <is>
          <t>timestamptz</t>
        </is>
      </c>
      <c r="C1157" s="41" t="inlineStr"/>
      <c r="D1157" s="41" t="n"/>
    </row>
    <row r="1158">
      <c r="A1158" s="41" t="inlineStr">
        <is>
          <t>revoked_at</t>
        </is>
      </c>
      <c r="B1158" s="41" t="inlineStr">
        <is>
          <t>timestamptz</t>
        </is>
      </c>
      <c r="C1158" s="41" t="inlineStr"/>
      <c r="D1158" s="41" t="n"/>
    </row>
    <row r="1159">
      <c r="A1159" s="41" t="n"/>
      <c r="B1159" s="41" t="n"/>
      <c r="C1159" s="41" t="n"/>
      <c r="D1159" s="41" t="n"/>
    </row>
    <row r="1160">
      <c r="A1160" s="41" t="inlineStr">
        <is>
          <t>▼ voice_memo_transcript_translations (NF-UX-1)</t>
        </is>
      </c>
      <c r="B1160" s="41" t="n"/>
      <c r="C1160" s="41" t="n"/>
      <c r="D1160" s="41" t="n"/>
    </row>
    <row r="1161">
      <c r="A1161" s="41" t="inlineStr">
        <is>
          <t>カラム</t>
        </is>
      </c>
      <c r="B1161" s="41" t="inlineStr">
        <is>
          <t>型</t>
        </is>
      </c>
      <c r="C1161" s="41" t="inlineStr">
        <is>
          <t>説明</t>
        </is>
      </c>
      <c r="D1161" s="41" t="inlineStr">
        <is>
          <t>必須</t>
        </is>
      </c>
    </row>
    <row r="1162">
      <c r="A1162" s="41" t="inlineStr">
        <is>
          <t>id</t>
        </is>
      </c>
      <c r="B1162" s="41" t="inlineStr">
        <is>
          <t>uuid PK</t>
        </is>
      </c>
      <c r="C1162" s="41" t="inlineStr"/>
      <c r="D1162" s="41" t="n"/>
    </row>
    <row r="1163">
      <c r="A1163" s="41" t="inlineStr">
        <is>
          <t>voice_memo_id</t>
        </is>
      </c>
      <c r="B1163" s="41" t="inlineStr">
        <is>
          <t>uuid REFERENCES voice_memos(id) ON DELETE CASCADE</t>
        </is>
      </c>
      <c r="C1163" s="41" t="inlineStr"/>
      <c r="D1163" s="41" t="n"/>
    </row>
    <row r="1164">
      <c r="A1164" s="41" t="inlineStr">
        <is>
          <t>locale</t>
        </is>
      </c>
      <c r="B1164" s="41" t="inlineStr">
        <is>
          <t>text</t>
        </is>
      </c>
      <c r="C1164" s="41" t="inlineStr">
        <is>
          <t>en/ja等</t>
        </is>
      </c>
      <c r="D1164" s="41" t="inlineStr">
        <is>
          <t>必須</t>
        </is>
      </c>
    </row>
    <row r="1165">
      <c r="A1165" s="41" t="inlineStr">
        <is>
          <t>text</t>
        </is>
      </c>
      <c r="B1165" s="41" t="inlineStr">
        <is>
          <t>text</t>
        </is>
      </c>
      <c r="C1165" s="41" t="inlineStr"/>
      <c r="D1165" s="41" t="n"/>
    </row>
    <row r="1166">
      <c r="A1166" s="41" t="inlineStr">
        <is>
          <t>quality</t>
        </is>
      </c>
      <c r="B1166" s="41" t="inlineStr">
        <is>
          <t>text CHECK (quality IN ('machine','human'))</t>
        </is>
      </c>
      <c r="C1166" s="41" t="inlineStr"/>
      <c r="D1166" s="41" t="n"/>
    </row>
    <row r="1167">
      <c r="A1167" s="41" t="inlineStr">
        <is>
          <t>translator</t>
        </is>
      </c>
      <c r="B1167" s="41" t="inlineStr">
        <is>
          <t>text</t>
        </is>
      </c>
      <c r="C1167" s="41" t="inlineStr">
        <is>
          <t>anthropic|deepl|human</t>
        </is>
      </c>
      <c r="D1167" s="41" t="inlineStr">
        <is>
          <t>必須</t>
        </is>
      </c>
    </row>
    <row r="1168">
      <c r="A1168" s="41" t="inlineStr">
        <is>
          <t>created_at</t>
        </is>
      </c>
      <c r="B1168" s="41" t="inlineStr">
        <is>
          <t>timestamptz DEFAULT now()</t>
        </is>
      </c>
      <c r="C1168" s="41" t="inlineStr"/>
      <c r="D1168" s="41" t="n"/>
    </row>
    <row r="1169">
      <c r="A1169" s="41" t="inlineStr">
        <is>
          <t>UNIQUE</t>
        </is>
      </c>
      <c r="B1169" s="41" t="inlineStr">
        <is>
          <t>(voice_memo_id, locale)</t>
        </is>
      </c>
      <c r="C1169" s="41" t="inlineStr"/>
      <c r="D1169" s="41" t="n"/>
    </row>
    <row r="1170">
      <c r="A1170" s="41" t="n"/>
      <c r="B1170" s="41" t="n"/>
      <c r="C1170" s="41" t="n"/>
      <c r="D1170" s="41" t="n"/>
    </row>
    <row r="1171">
      <c r="A1171" s="41" t="inlineStr">
        <is>
          <t>▼ contract_special_terms_taxonomy (NF-S9-1)</t>
        </is>
      </c>
      <c r="B1171" s="41" t="n"/>
      <c r="C1171" s="41" t="n"/>
      <c r="D1171" s="41" t="n"/>
    </row>
    <row r="1172">
      <c r="A1172" s="41" t="inlineStr">
        <is>
          <t>カラム</t>
        </is>
      </c>
      <c r="B1172" s="41" t="inlineStr">
        <is>
          <t>型</t>
        </is>
      </c>
      <c r="C1172" s="41" t="inlineStr">
        <is>
          <t>説明</t>
        </is>
      </c>
      <c r="D1172" s="41" t="inlineStr">
        <is>
          <t>必須</t>
        </is>
      </c>
    </row>
    <row r="1173">
      <c r="A1173" s="41" t="inlineStr">
        <is>
          <t>id</t>
        </is>
      </c>
      <c r="B1173" s="41" t="inlineStr">
        <is>
          <t>uuid PK</t>
        </is>
      </c>
      <c r="C1173" s="41" t="inlineStr"/>
      <c r="D1173" s="41" t="n"/>
    </row>
    <row r="1174">
      <c r="A1174" s="41" t="inlineStr">
        <is>
          <t>term_kind</t>
        </is>
      </c>
      <c r="B1174" s="41" t="inlineStr">
        <is>
          <t>text</t>
        </is>
      </c>
      <c r="C1174" s="41" t="inlineStr"/>
      <c r="D1174" s="41" t="n"/>
    </row>
    <row r="1175">
      <c r="A1175" s="41" t="inlineStr">
        <is>
          <t>status</t>
        </is>
      </c>
      <c r="B1175" s="41" t="inlineStr">
        <is>
          <t>text CHECK (status IN ('proposed','legal_review','admin_approve','active','archived'))</t>
        </is>
      </c>
      <c r="C1175" s="41" t="inlineStr"/>
      <c r="D1175" s="41" t="n"/>
    </row>
    <row r="1176">
      <c r="A1176" s="41" t="inlineStr">
        <is>
          <t>version</t>
        </is>
      </c>
      <c r="B1176" s="41" t="inlineStr">
        <is>
          <t>int NOT NULL</t>
        </is>
      </c>
      <c r="C1176" s="41" t="inlineStr"/>
      <c r="D1176" s="41" t="n"/>
    </row>
    <row r="1177">
      <c r="A1177" s="41" t="inlineStr">
        <is>
          <t>proposed_by</t>
        </is>
      </c>
      <c r="B1177" s="41" t="inlineStr">
        <is>
          <t>uuid</t>
        </is>
      </c>
      <c r="C1177" s="41" t="inlineStr"/>
      <c r="D1177" s="41" t="n"/>
    </row>
    <row r="1178">
      <c r="A1178" s="41" t="inlineStr">
        <is>
          <t>legal_approver_id</t>
        </is>
      </c>
      <c r="B1178" s="41" t="inlineStr">
        <is>
          <t>uuid</t>
        </is>
      </c>
      <c r="C1178" s="41" t="inlineStr">
        <is>
          <t>法務承認</t>
        </is>
      </c>
      <c r="D1178" s="41" t="inlineStr">
        <is>
          <t>任意</t>
        </is>
      </c>
    </row>
    <row r="1179">
      <c r="A1179" s="41" t="inlineStr">
        <is>
          <t>admin_approver_id</t>
        </is>
      </c>
      <c r="B1179" s="41" t="inlineStr">
        <is>
          <t>uuid</t>
        </is>
      </c>
      <c r="C1179" s="41" t="inlineStr">
        <is>
          <t>情シス承認</t>
        </is>
      </c>
      <c r="D1179" s="41" t="inlineStr">
        <is>
          <t>任意</t>
        </is>
      </c>
    </row>
    <row r="1180">
      <c r="A1180" s="41" t="inlineStr">
        <is>
          <t>activated_at</t>
        </is>
      </c>
      <c r="B1180" s="41" t="inlineStr">
        <is>
          <t>timestamptz</t>
        </is>
      </c>
      <c r="C1180" s="41" t="inlineStr"/>
      <c r="D1180" s="41" t="n"/>
    </row>
    <row r="1181">
      <c r="A1181" s="41" t="inlineStr">
        <is>
          <t>changelog</t>
        </is>
      </c>
      <c r="B1181" s="41" t="inlineStr">
        <is>
          <t>text</t>
        </is>
      </c>
      <c r="C1181" s="41" t="inlineStr"/>
      <c r="D1181" s="41" t="n"/>
    </row>
    <row r="1182">
      <c r="A1182" s="41" t="n"/>
      <c r="B1182" s="41" t="n"/>
      <c r="C1182" s="41" t="n"/>
      <c r="D1182" s="41" t="n"/>
    </row>
    <row r="1183">
      <c r="A1183" s="41" t="inlineStr">
        <is>
          <t>▼ data_deletion_requests 追加列(F-S11-3再)</t>
        </is>
      </c>
      <c r="B1183" s="41" t="n"/>
      <c r="C1183" s="41" t="n"/>
      <c r="D1183" s="41" t="n"/>
    </row>
    <row r="1184">
      <c r="A1184" s="41" t="inlineStr">
        <is>
          <t>カラム</t>
        </is>
      </c>
      <c r="B1184" s="41" t="inlineStr">
        <is>
          <t>型</t>
        </is>
      </c>
      <c r="C1184" s="41" t="inlineStr">
        <is>
          <t>説明</t>
        </is>
      </c>
      <c r="D1184" s="41" t="inlineStr">
        <is>
          <t>必須</t>
        </is>
      </c>
    </row>
    <row r="1185">
      <c r="A1185" s="41" t="inlineStr">
        <is>
          <t>legal_hold_override_approver_id</t>
        </is>
      </c>
      <c r="B1185" s="41" t="inlineStr">
        <is>
          <t>uuid</t>
        </is>
      </c>
      <c r="C1185" s="41" t="inlineStr">
        <is>
          <t>代理人承認</t>
        </is>
      </c>
      <c r="D1185" s="41" t="inlineStr">
        <is>
          <t>任意</t>
        </is>
      </c>
    </row>
    <row r="1186">
      <c r="A1186" s="41" t="inlineStr">
        <is>
          <t>legal_hold_override_reason</t>
        </is>
      </c>
      <c r="B1186" s="41" t="inlineStr">
        <is>
          <t>text</t>
        </is>
      </c>
      <c r="C1186" s="41" t="inlineStr">
        <is>
          <t>訴訟番号等</t>
        </is>
      </c>
      <c r="D1186" s="41" t="inlineStr">
        <is>
          <t>任意</t>
        </is>
      </c>
    </row>
    <row r="1187">
      <c r="A1187" s="41" t="inlineStr">
        <is>
          <t>subject_representative_id</t>
        </is>
      </c>
      <c r="B1187" s="41" t="inlineStr">
        <is>
          <t>uuid</t>
        </is>
      </c>
      <c r="C1187" s="41" t="inlineStr">
        <is>
          <t>本人代理人</t>
        </is>
      </c>
      <c r="D1187" s="41" t="inlineStr">
        <is>
          <t>任意</t>
        </is>
      </c>
    </row>
    <row r="1188">
      <c r="A1188" s="41" t="inlineStr">
        <is>
          <t>approval_chain</t>
        </is>
      </c>
      <c r="B1188" s="41" t="inlineStr">
        <is>
          <t>jsonb</t>
        </is>
      </c>
      <c r="C1188" s="41" t="inlineStr">
        <is>
          <t>[{role,user_id,at}]</t>
        </is>
      </c>
      <c r="D1188" s="41" t="inlineStr">
        <is>
          <t>任意</t>
        </is>
      </c>
    </row>
    <row r="1189">
      <c r="A1189" s="41" t="n"/>
      <c r="B1189" s="41" t="n"/>
      <c r="C1189" s="41" t="n"/>
      <c r="D1189" s="41" t="n"/>
    </row>
    <row r="1190">
      <c r="A1190" s="41" t="inlineStr">
        <is>
          <t>▼ chat_citations 追加列(F-S13-4再)</t>
        </is>
      </c>
      <c r="B1190" s="41" t="n"/>
      <c r="C1190" s="41" t="n"/>
      <c r="D1190" s="41" t="n"/>
    </row>
    <row r="1191">
      <c r="A1191" s="41" t="inlineStr">
        <is>
          <t>カラム</t>
        </is>
      </c>
      <c r="B1191" s="41" t="inlineStr">
        <is>
          <t>型</t>
        </is>
      </c>
      <c r="C1191" s="41" t="inlineStr">
        <is>
          <t>説明</t>
        </is>
      </c>
      <c r="D1191" s="41" t="inlineStr">
        <is>
          <t>必須</t>
        </is>
      </c>
    </row>
    <row r="1192">
      <c r="A1192" s="41" t="inlineStr">
        <is>
          <t>speaker_confidence</t>
        </is>
      </c>
      <c r="B1192" s="41" t="inlineStr">
        <is>
          <t>numeric(3,2)</t>
        </is>
      </c>
      <c r="C1192" s="41" t="inlineStr">
        <is>
          <t>0-1</t>
        </is>
      </c>
      <c r="D1192" s="41" t="inlineStr">
        <is>
          <t>任意</t>
        </is>
      </c>
    </row>
    <row r="1193">
      <c r="A1193" s="41" t="inlineStr">
        <is>
          <t>downgraded_for_low_confidence</t>
        </is>
      </c>
      <c r="B1193" s="41" t="inlineStr">
        <is>
          <t>boolean DEFAULT false</t>
        </is>
      </c>
      <c r="C1193" s="41" t="inlineStr">
        <is>
          <t>&lt;0.4で自動降格</t>
        </is>
      </c>
      <c r="D1193" s="41" t="inlineStr">
        <is>
          <t>必須</t>
        </is>
      </c>
    </row>
    <row r="1194">
      <c r="A1194" s="41" t="n"/>
      <c r="B1194" s="41" t="n"/>
      <c r="C1194" s="41" t="n"/>
      <c r="D1194" s="41" t="n"/>
    </row>
    <row r="1195">
      <c r="A1195" s="41" t="inlineStr">
        <is>
          <t>▼ derived_artifacts_status 追加列(NF-S5-1)</t>
        </is>
      </c>
      <c r="B1195" s="41" t="n"/>
      <c r="C1195" s="41" t="n"/>
      <c r="D1195" s="41" t="n"/>
    </row>
    <row r="1196">
      <c r="A1196" s="41" t="inlineStr">
        <is>
          <t>カラム</t>
        </is>
      </c>
      <c r="B1196" s="41" t="inlineStr">
        <is>
          <t>型</t>
        </is>
      </c>
      <c r="C1196" s="41" t="inlineStr">
        <is>
          <t>説明</t>
        </is>
      </c>
      <c r="D1196" s="41" t="inlineStr">
        <is>
          <t>必須</t>
        </is>
      </c>
    </row>
    <row r="1197">
      <c r="A1197" s="41" t="inlineStr">
        <is>
          <t>regen_debounce_until</t>
        </is>
      </c>
      <c r="B1197" s="41" t="inlineStr">
        <is>
          <t>timestamptz</t>
        </is>
      </c>
      <c r="C1197" s="41" t="inlineStr">
        <is>
          <t>60秒debounce</t>
        </is>
      </c>
      <c r="D1197" s="41" t="inlineStr">
        <is>
          <t>任意</t>
        </is>
      </c>
    </row>
    <row r="1198">
      <c r="A1198" s="41" t="inlineStr">
        <is>
          <t>regen_lock_version</t>
        </is>
      </c>
      <c r="B1198" s="41" t="inlineStr">
        <is>
          <t>int DEFAULT 0</t>
        </is>
      </c>
      <c r="C1198" s="41" t="inlineStr">
        <is>
          <t>OCC</t>
        </is>
      </c>
      <c r="D1198" s="41" t="inlineStr">
        <is>
          <t>必須</t>
        </is>
      </c>
    </row>
    <row r="1199">
      <c r="A1199" s="41" t="n"/>
      <c r="B1199" s="41" t="n"/>
      <c r="C1199" s="41" t="n"/>
      <c r="D1199" s="41" t="n"/>
    </row>
    <row r="1200">
      <c r="A1200" s="41" t="inlineStr">
        <is>
          <t>▼ users 追加列(NF-S2-1, NF-S4-2)</t>
        </is>
      </c>
      <c r="B1200" s="41" t="n"/>
      <c r="C1200" s="41" t="n"/>
      <c r="D1200" s="41" t="n"/>
    </row>
    <row r="1201">
      <c r="A1201" s="41" t="inlineStr">
        <is>
          <t>カラム</t>
        </is>
      </c>
      <c r="B1201" s="41" t="inlineStr">
        <is>
          <t>型</t>
        </is>
      </c>
      <c r="C1201" s="41" t="inlineStr">
        <is>
          <t>説明</t>
        </is>
      </c>
      <c r="D1201" s="41" t="inlineStr">
        <is>
          <t>必須</t>
        </is>
      </c>
    </row>
    <row r="1202">
      <c r="A1202" s="41" t="inlineStr">
        <is>
          <t>away_until</t>
        </is>
      </c>
      <c r="B1202" s="41" t="inlineStr">
        <is>
          <t>timestamptz</t>
        </is>
      </c>
      <c r="C1202" s="41" t="inlineStr">
        <is>
          <t>出張中フラグ(手動/自動推定)</t>
        </is>
      </c>
      <c r="D1202" s="41" t="inlineStr">
        <is>
          <t>任意</t>
        </is>
      </c>
    </row>
    <row r="1203">
      <c r="A1203" s="41" t="inlineStr">
        <is>
          <t>away_source</t>
        </is>
      </c>
      <c r="B1203" s="41" t="inlineStr">
        <is>
          <t>text CHECK (away_source IN ('manual','calendar_ooo','flight_email_heuristic','hold_density_heuristic'))</t>
        </is>
      </c>
      <c r="C1203" s="41" t="inlineStr"/>
      <c r="D1203" s="41" t="n"/>
    </row>
    <row r="1204">
      <c r="A1204" s="41" t="n"/>
      <c r="B1204" s="41" t="n"/>
      <c r="C1204" s="41" t="n"/>
      <c r="D1204" s="41" t="n"/>
    </row>
    <row r="1205">
      <c r="A1205" s="41" t="inlineStr">
        <is>
          <t>▼ calendar_holds 設計変更(NF-S2-2)</t>
        </is>
      </c>
      <c r="B1205" s="41" t="n"/>
      <c r="C1205" s="41" t="n"/>
      <c r="D1205" s="41" t="n"/>
    </row>
    <row r="1206">
      <c r="A1206" s="41" t="inlineStr">
        <is>
          <t>カラム</t>
        </is>
      </c>
      <c r="B1206" s="41" t="inlineStr">
        <is>
          <t>型</t>
        </is>
      </c>
      <c r="C1206" s="41" t="inlineStr">
        <is>
          <t>説明</t>
        </is>
      </c>
      <c r="D1206" s="41" t="inlineStr">
        <is>
          <t>必須</t>
        </is>
      </c>
    </row>
    <row r="1207">
      <c r="A1207" s="41" t="inlineStr">
        <is>
          <t>注記</t>
        </is>
      </c>
      <c r="B1207" s="41" t="inlineStr">
        <is>
          <t>-</t>
        </is>
      </c>
      <c r="C1207" s="41" t="inlineStr">
        <is>
          <t>hold_visibility='attendees_dimmed'は同席者カレンダーへinvite送信せず、ownerのみtransparent予定。確定時に正規inviteを発行</t>
        </is>
      </c>
      <c r="D1207" s="41" t="inlineStr">
        <is>
          <t>-</t>
        </is>
      </c>
    </row>
    <row r="1209">
      <c r="A1209" s="41" t="inlineStr">
        <is>
          <t>■ v2.5 追加・改修(R3 minor)</t>
        </is>
      </c>
      <c r="B1209" s="41" t="n"/>
      <c r="C1209" s="41" t="n"/>
      <c r="D1209" s="41" t="n"/>
    </row>
    <row r="1210">
      <c r="A1210" s="41" t="inlineStr">
        <is>
          <t>テーブル名</t>
        </is>
      </c>
      <c r="B1210" s="41" t="inlineStr">
        <is>
          <t>概要</t>
        </is>
      </c>
      <c r="C1210" s="41" t="inlineStr">
        <is>
          <t>Phase</t>
        </is>
      </c>
      <c r="D1210" s="41" t="n"/>
    </row>
    <row r="1211">
      <c r="A1211" s="41" t="inlineStr">
        <is>
          <t>review_backlog_metrics</t>
        </is>
      </c>
      <c r="B1211" s="41" t="inlineStr">
        <is>
          <t>信頼区間&lt;0.4退避バックログ集計(NF3-S8-1)</t>
        </is>
      </c>
      <c r="C1211" s="41" t="inlineStr">
        <is>
          <t>P3</t>
        </is>
      </c>
      <c r="D1211" s="41" t="n"/>
    </row>
    <row r="1212">
      <c r="A1212" s="41" t="n"/>
      <c r="B1212" s="41" t="n"/>
      <c r="C1212" s="41" t="n"/>
      <c r="D1212" s="41" t="n"/>
    </row>
    <row r="1213">
      <c r="A1213" s="41" t="inlineStr">
        <is>
          <t>▼ voice_memo_transcript_translations 追加列(NF3-UX-2)</t>
        </is>
      </c>
      <c r="B1213" s="41" t="n"/>
      <c r="C1213" s="41" t="n"/>
      <c r="D1213" s="41" t="n"/>
    </row>
    <row r="1214">
      <c r="A1214" s="41" t="inlineStr">
        <is>
          <t>カラム</t>
        </is>
      </c>
      <c r="B1214" s="41" t="inlineStr">
        <is>
          <t>型</t>
        </is>
      </c>
      <c r="C1214" s="41" t="inlineStr">
        <is>
          <t>説明</t>
        </is>
      </c>
      <c r="D1214" s="41" t="inlineStr">
        <is>
          <t>必須</t>
        </is>
      </c>
    </row>
    <row r="1215">
      <c r="A1215" s="41" t="inlineStr">
        <is>
          <t>translation_status</t>
        </is>
      </c>
      <c r="B1215" s="41" t="inlineStr">
        <is>
          <t>text CHECK (translation_status IN ('machine','human_requested','human_in_progress','human_done'))</t>
        </is>
      </c>
      <c r="C1215" s="41" t="inlineStr"/>
      <c r="D1215" s="41" t="n"/>
    </row>
    <row r="1216">
      <c r="A1216" s="41" t="inlineStr">
        <is>
          <t>human_request_at</t>
        </is>
      </c>
      <c r="B1216" s="41" t="inlineStr">
        <is>
          <t>timestamptz</t>
        </is>
      </c>
      <c r="C1216" s="41" t="inlineStr"/>
      <c r="D1216" s="41" t="n"/>
    </row>
    <row r="1217">
      <c r="A1217" s="41" t="inlineStr">
        <is>
          <t>human_done_at</t>
        </is>
      </c>
      <c r="B1217" s="41" t="inlineStr">
        <is>
          <t>timestamptz</t>
        </is>
      </c>
      <c r="C1217" s="41" t="inlineStr"/>
      <c r="D1217" s="41" t="n"/>
    </row>
    <row r="1218">
      <c r="A1218" s="41" t="inlineStr">
        <is>
          <t>sla_business_days</t>
        </is>
      </c>
      <c r="B1218" s="41" t="inlineStr">
        <is>
          <t>int DEFAULT 5</t>
        </is>
      </c>
      <c r="C1218" s="41" t="inlineStr"/>
      <c r="D1218" s="41" t="n"/>
    </row>
    <row r="1219">
      <c r="A1219" s="41" t="n"/>
      <c r="B1219" s="41" t="n"/>
      <c r="C1219" s="41" t="n"/>
      <c r="D1219" s="41" t="n"/>
    </row>
    <row r="1220">
      <c r="A1220" s="41" t="inlineStr">
        <is>
          <t>▼ pre_consent_audio_buffers 追加列(NF3-S4-1)</t>
        </is>
      </c>
      <c r="B1220" s="41" t="n"/>
      <c r="C1220" s="41" t="n"/>
      <c r="D1220" s="41" t="n"/>
    </row>
    <row r="1221">
      <c r="A1221" s="41" t="inlineStr">
        <is>
          <t>カラム</t>
        </is>
      </c>
      <c r="B1221" s="41" t="inlineStr">
        <is>
          <t>型</t>
        </is>
      </c>
      <c r="C1221" s="41" t="inlineStr">
        <is>
          <t>説明</t>
        </is>
      </c>
      <c r="D1221" s="41" t="inlineStr">
        <is>
          <t>必須</t>
        </is>
      </c>
    </row>
    <row r="1222">
      <c r="A1222" s="41" t="inlineStr">
        <is>
          <t>extension_count</t>
        </is>
      </c>
      <c r="B1222" s="41" t="inlineStr">
        <is>
          <t>int DEFAULT 0 CHECK (extension_count &lt;= 3)</t>
        </is>
      </c>
      <c r="C1222" s="41" t="inlineStr">
        <is>
          <t>verbal_proof_locked延長回数(最大3回)</t>
        </is>
      </c>
      <c r="D1222" s="41" t="inlineStr">
        <is>
          <t>必須</t>
        </is>
      </c>
    </row>
    <row r="1223">
      <c r="A1223" s="41" t="inlineStr">
        <is>
          <t>extension_log</t>
        </is>
      </c>
      <c r="B1223" s="41" t="inlineStr">
        <is>
          <t>jsonb</t>
        </is>
      </c>
      <c r="C1223" s="41" t="inlineStr">
        <is>
          <t>[{at, by_user_id, reason}]</t>
        </is>
      </c>
      <c r="D1223" s="41" t="inlineStr">
        <is>
          <t>任意</t>
        </is>
      </c>
    </row>
    <row r="1224">
      <c r="A1224" s="41" t="n"/>
      <c r="B1224" s="41" t="n"/>
      <c r="C1224" s="41" t="n"/>
      <c r="D1224" s="41" t="n"/>
    </row>
    <row r="1225">
      <c r="A1225" s="41" t="inlineStr">
        <is>
          <t>▼ contract_special_terms_taxonomy 追加列(NF3-S9-1)</t>
        </is>
      </c>
      <c r="B1225" s="41" t="n"/>
      <c r="C1225" s="41" t="n"/>
      <c r="D1225" s="41" t="n"/>
    </row>
    <row r="1226">
      <c r="A1226" s="41" t="inlineStr">
        <is>
          <t>カラム</t>
        </is>
      </c>
      <c r="B1226" s="41" t="inlineStr">
        <is>
          <t>型</t>
        </is>
      </c>
      <c r="C1226" s="41" t="inlineStr">
        <is>
          <t>説明</t>
        </is>
      </c>
      <c r="D1226" s="41" t="inlineStr">
        <is>
          <t>必須</t>
        </is>
      </c>
    </row>
    <row r="1227">
      <c r="A1227" s="41" t="inlineStr">
        <is>
          <t>replaced_by_id</t>
        </is>
      </c>
      <c r="B1227" s="41" t="inlineStr">
        <is>
          <t>uuid REFERENCES contract_special_terms_taxonomy(id)</t>
        </is>
      </c>
      <c r="C1227" s="41" t="inlineStr">
        <is>
          <t>代替版</t>
        </is>
      </c>
      <c r="D1227" s="41" t="inlineStr">
        <is>
          <t>任意</t>
        </is>
      </c>
    </row>
    <row r="1228">
      <c r="A1228" s="41" t="inlineStr">
        <is>
          <t>archived_at</t>
        </is>
      </c>
      <c r="B1228" s="41" t="inlineStr">
        <is>
          <t>timestamptz</t>
        </is>
      </c>
      <c r="C1228" s="41" t="inlineStr"/>
      <c r="D1228" s="41" t="n"/>
    </row>
    <row r="1229">
      <c r="A1229" s="41" t="inlineStr">
        <is>
          <t>orphan_contract_count</t>
        </is>
      </c>
      <c r="B1229" s="41" t="inlineStr">
        <is>
          <t>int</t>
        </is>
      </c>
      <c r="C1229" s="41" t="inlineStr">
        <is>
          <t>archive時に紐付いていた契約数(参照保持用)</t>
        </is>
      </c>
      <c r="D1229" s="41" t="inlineStr">
        <is>
          <t>任意</t>
        </is>
      </c>
    </row>
    <row r="1230">
      <c r="A1230" s="41" t="n"/>
      <c r="B1230" s="41" t="n"/>
      <c r="C1230" s="41" t="n"/>
      <c r="D1230" s="41" t="n"/>
    </row>
    <row r="1231">
      <c r="A1231" s="41" t="inlineStr">
        <is>
          <t>▼ review_backlog_metrics (NF3-S8-1)</t>
        </is>
      </c>
      <c r="B1231" s="41" t="n"/>
      <c r="C1231" s="41" t="n"/>
      <c r="D1231" s="41" t="n"/>
    </row>
    <row r="1232">
      <c r="A1232" s="41" t="inlineStr">
        <is>
          <t>カラム</t>
        </is>
      </c>
      <c r="B1232" s="41" t="inlineStr">
        <is>
          <t>型</t>
        </is>
      </c>
      <c r="C1232" s="41" t="inlineStr">
        <is>
          <t>説明</t>
        </is>
      </c>
      <c r="D1232" s="41" t="inlineStr">
        <is>
          <t>必須</t>
        </is>
      </c>
    </row>
    <row r="1233">
      <c r="A1233" s="41" t="inlineStr">
        <is>
          <t>id</t>
        </is>
      </c>
      <c r="B1233" s="41" t="inlineStr">
        <is>
          <t>uuid PK</t>
        </is>
      </c>
      <c r="C1233" s="41" t="inlineStr"/>
      <c r="D1233" s="41" t="n"/>
    </row>
    <row r="1234">
      <c r="A1234" s="41" t="inlineStr">
        <is>
          <t>manager_user_id</t>
        </is>
      </c>
      <c r="B1234" s="41" t="inlineStr">
        <is>
          <t>uuid REFERENCES users(id) ON DELETE CASCADE</t>
        </is>
      </c>
      <c r="C1234" s="41" t="inlineStr"/>
      <c r="D1234" s="41" t="n"/>
    </row>
    <row r="1235">
      <c r="A1235" s="41" t="inlineStr">
        <is>
          <t>subordinate_user_id</t>
        </is>
      </c>
      <c r="B1235" s="41" t="inlineStr">
        <is>
          <t>uuid REFERENCES users(id)</t>
        </is>
      </c>
      <c r="C1235" s="41" t="inlineStr"/>
      <c r="D1235" s="41" t="n"/>
    </row>
    <row r="1236">
      <c r="A1236" s="41" t="inlineStr">
        <is>
          <t>pending_count</t>
        </is>
      </c>
      <c r="B1236" s="41" t="inlineStr">
        <is>
          <t>int</t>
        </is>
      </c>
      <c r="C1236" s="41" t="inlineStr">
        <is>
          <t>信頼区間&lt;0.4退避件数</t>
        </is>
      </c>
      <c r="D1236" s="41" t="inlineStr">
        <is>
          <t>必須</t>
        </is>
      </c>
    </row>
    <row r="1237">
      <c r="A1237" s="41" t="inlineStr">
        <is>
          <t>oldest_pending_days</t>
        </is>
      </c>
      <c r="B1237" s="41" t="inlineStr">
        <is>
          <t>int</t>
        </is>
      </c>
      <c r="C1237" s="41" t="inlineStr">
        <is>
          <t>最古経過日数</t>
        </is>
      </c>
      <c r="D1237" s="41" t="inlineStr">
        <is>
          <t>必須</t>
        </is>
      </c>
    </row>
    <row r="1238">
      <c r="A1238" s="41" t="inlineStr">
        <is>
          <t>computed_at</t>
        </is>
      </c>
      <c r="B1238" s="41" t="inlineStr">
        <is>
          <t>timestamptz DEFAULT now()</t>
        </is>
      </c>
      <c r="C1238" s="41" t="inlineStr"/>
      <c r="D1238" s="41" t="n"/>
    </row>
    <row r="1239">
      <c r="A1239" s="41" t="n"/>
      <c r="B1239" s="41" t="n"/>
      <c r="C1239" s="41" t="n"/>
      <c r="D1239" s="41" t="n"/>
    </row>
    <row r="1240">
      <c r="A1240" s="41" t="inlineStr">
        <is>
          <t>▼ data_deletion_requests 追加列(NF3-S11-1)</t>
        </is>
      </c>
      <c r="B1240" s="41" t="n"/>
      <c r="C1240" s="41" t="n"/>
      <c r="D1240" s="41" t="n"/>
    </row>
    <row r="1241">
      <c r="A1241" s="41" t="inlineStr">
        <is>
          <t>カラム</t>
        </is>
      </c>
      <c r="B1241" s="41" t="inlineStr">
        <is>
          <t>型</t>
        </is>
      </c>
      <c r="C1241" s="41" t="inlineStr">
        <is>
          <t>説明</t>
        </is>
      </c>
      <c r="D1241" s="41" t="inlineStr">
        <is>
          <t>必須</t>
        </is>
      </c>
    </row>
    <row r="1242">
      <c r="A1242" s="41" t="inlineStr">
        <is>
          <t>representative_identity_verification_method</t>
        </is>
      </c>
      <c r="B1242" s="41" t="inlineStr">
        <is>
          <t>text CHECK (...)</t>
        </is>
      </c>
      <c r="C1242" s="41" t="inlineStr">
        <is>
          <t>power_of_attorney_doc|representative_id_doc</t>
        </is>
      </c>
      <c r="D1242" s="41" t="inlineStr">
        <is>
          <t>任意</t>
        </is>
      </c>
    </row>
    <row r="1243">
      <c r="A1243" s="41" t="inlineStr">
        <is>
          <t>power_of_attorney_doc_url</t>
        </is>
      </c>
      <c r="B1243" s="41" t="inlineStr">
        <is>
          <t>text</t>
        </is>
      </c>
      <c r="C1243" s="41" t="inlineStr">
        <is>
          <t>R2 URL</t>
        </is>
      </c>
      <c r="D1243" s="41" t="inlineStr">
        <is>
          <t>任意</t>
        </is>
      </c>
    </row>
    <row r="1244">
      <c r="A1244" s="41" t="inlineStr">
        <is>
          <t>representative_id_doc_url</t>
        </is>
      </c>
      <c r="B1244" s="41" t="inlineStr">
        <is>
          <t>text</t>
        </is>
      </c>
      <c r="C1244" s="41" t="inlineStr">
        <is>
          <t>R2 URL</t>
        </is>
      </c>
      <c r="D1244" s="41" t="inlineStr">
        <is>
          <t>任意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2"/>
    <col width="38" customWidth="1" style="27" min="3" max="3"/>
    <col width="28" customWidth="1" style="27" min="4" max="4"/>
    <col width="35" customWidth="1" style="27" min="5" max="6"/>
    <col width="16" customWidth="1" style="27" min="7" max="7"/>
    <col width="35" customWidth="1" style="27" min="8" max="8"/>
    <col width="6" customWidth="1" style="27" min="9" max="9"/>
  </cols>
  <sheetData>
    <row r="1" ht="24" customHeight="1" s="28">
      <c r="A1" s="45" t="inlineStr">
        <is>
          <t>APIエンドポイント仕様</t>
        </is>
      </c>
    </row>
    <row r="2" ht="18" customHeight="1" s="28">
      <c r="A2" s="46" t="inlineStr">
        <is>
          <t>Next.js Route Handlers + Worker内部エンドポイント</t>
        </is>
      </c>
    </row>
    <row r="4" ht="27.75" customHeight="1" s="28">
      <c r="A4" s="37" t="inlineStr">
        <is>
          <t>ID</t>
        </is>
      </c>
      <c r="B4" s="37" t="inlineStr">
        <is>
          <t>Method</t>
        </is>
      </c>
      <c r="C4" s="37" t="inlineStr">
        <is>
          <t>Path</t>
        </is>
      </c>
      <c r="D4" s="34" t="inlineStr">
        <is>
          <t>概要</t>
        </is>
      </c>
      <c r="E4" s="37" t="inlineStr">
        <is>
          <t>Request</t>
        </is>
      </c>
      <c r="F4" s="37" t="inlineStr">
        <is>
          <t>Response</t>
        </is>
      </c>
      <c r="G4" s="34" t="inlineStr">
        <is>
          <t>認証</t>
        </is>
      </c>
      <c r="H4" s="34" t="inlineStr">
        <is>
          <t>副作用</t>
        </is>
      </c>
      <c r="I4" s="37" t="inlineStr">
        <is>
          <t>Phase</t>
        </is>
      </c>
    </row>
    <row r="5" ht="15" customHeight="1" s="28">
      <c r="A5" s="35" t="inlineStr">
        <is>
          <t>API-01</t>
        </is>
      </c>
      <c r="B5" s="35" t="inlineStr">
        <is>
          <t>POST</t>
        </is>
      </c>
      <c r="C5" s="35" t="inlineStr">
        <is>
          <t>/api/auth/callback</t>
        </is>
      </c>
      <c r="D5" s="35" t="inlineStr">
        <is>
          <t>Google OAuth コールバック</t>
        </is>
      </c>
      <c r="E5" s="35" t="inlineStr">
        <is>
          <t>code, state</t>
        </is>
      </c>
      <c r="F5" s="35" t="inlineStr">
        <is>
          <t>redirect</t>
        </is>
      </c>
      <c r="G5" s="36" t="inlineStr">
        <is>
          <t>なし</t>
        </is>
      </c>
      <c r="H5" s="35" t="inlineStr">
        <is>
          <t>users upsert, user_oauth_tokens保存</t>
        </is>
      </c>
      <c r="I5" s="42" t="inlineStr">
        <is>
          <t>P1</t>
        </is>
      </c>
    </row>
    <row r="6" ht="15" customHeight="1" s="28">
      <c r="A6" s="35" t="inlineStr">
        <is>
          <t>API-02</t>
        </is>
      </c>
      <c r="B6" s="35" t="inlineStr">
        <is>
          <t>POST</t>
        </is>
      </c>
      <c r="C6" s="35" t="inlineStr">
        <is>
          <t>/api/oauth/scopes/refresh</t>
        </is>
      </c>
      <c r="D6" s="35" t="inlineStr">
        <is>
          <t>OAuthスコープ追加取得</t>
        </is>
      </c>
      <c r="E6" s="35" t="inlineStr">
        <is>
          <t>provider, scopes[]</t>
        </is>
      </c>
      <c r="F6" s="35" t="inlineStr">
        <is>
          <t>redirect_url</t>
        </is>
      </c>
      <c r="G6" s="35" t="inlineStr">
        <is>
          <t>session</t>
        </is>
      </c>
      <c r="H6" s="36" t="n"/>
      <c r="I6" s="42" t="inlineStr">
        <is>
          <t>P1</t>
        </is>
      </c>
    </row>
    <row r="7" ht="29.85" customHeight="1" s="28">
      <c r="A7" s="35" t="inlineStr">
        <is>
          <t>API-03</t>
        </is>
      </c>
      <c r="B7" s="35" t="inlineStr">
        <is>
          <t>POST</t>
        </is>
      </c>
      <c r="C7" s="35" t="inlineStr">
        <is>
          <t>/api/zoom/connect</t>
        </is>
      </c>
      <c r="D7" s="35" t="inlineStr">
        <is>
          <t>Zoom Server-to-Server OAuth設定</t>
        </is>
      </c>
      <c r="E7" s="35" t="inlineStr">
        <is>
          <t>-</t>
        </is>
      </c>
      <c r="F7" s="35" t="inlineStr">
        <is>
          <t>{ok:true}</t>
        </is>
      </c>
      <c r="G7" s="35" t="inlineStr">
        <is>
          <t>admin</t>
        </is>
      </c>
      <c r="H7" s="35" t="inlineStr">
        <is>
          <t>organizationsに保存</t>
        </is>
      </c>
      <c r="I7" s="42" t="inlineStr">
        <is>
          <t>P1</t>
        </is>
      </c>
    </row>
    <row r="8" ht="15" customHeight="1" s="28">
      <c r="A8" s="35" t="inlineStr">
        <is>
          <t>API-04</t>
        </is>
      </c>
      <c r="B8" s="35" t="inlineStr">
        <is>
          <t>POST</t>
        </is>
      </c>
      <c r="C8" s="35" t="inlineStr">
        <is>
          <t>/api/ocr/business-card</t>
        </is>
      </c>
      <c r="D8" s="36" t="inlineStr">
        <is>
          <t>名刺OCR(複数枚対応)</t>
        </is>
      </c>
      <c r="E8" s="35" t="inlineStr">
        <is>
          <t>multipart/form-data: files[]</t>
        </is>
      </c>
      <c r="F8" s="35" t="inlineStr">
        <is>
          <t>{batch_id, items:[{image_url, extracted}]}</t>
        </is>
      </c>
      <c r="G8" s="35" t="inlineStr">
        <is>
          <t>session</t>
        </is>
      </c>
      <c r="H8" s="35" t="inlineStr">
        <is>
          <t>pgmq:process_business_card 投入</t>
        </is>
      </c>
      <c r="I8" s="42" t="inlineStr">
        <is>
          <t>P1</t>
        </is>
      </c>
    </row>
    <row r="9" ht="15" customHeight="1" s="28">
      <c r="A9" s="35" t="inlineStr">
        <is>
          <t>API-05</t>
        </is>
      </c>
      <c r="B9" s="35" t="inlineStr">
        <is>
          <t>GET</t>
        </is>
      </c>
      <c r="C9" s="35" t="inlineStr">
        <is>
          <t>/api/contacts</t>
        </is>
      </c>
      <c r="D9" s="36" t="inlineStr">
        <is>
          <t>コンタクト一覧</t>
        </is>
      </c>
      <c r="E9" s="35" t="inlineStr">
        <is>
          <t>?q=&amp;owner=&amp;status=&amp;page=</t>
        </is>
      </c>
      <c r="F9" s="35" t="inlineStr">
        <is>
          <t>{items:[], total}</t>
        </is>
      </c>
      <c r="G9" s="35" t="inlineStr">
        <is>
          <t>session</t>
        </is>
      </c>
      <c r="H9" s="36" t="n"/>
      <c r="I9" s="42" t="inlineStr">
        <is>
          <t>P1</t>
        </is>
      </c>
    </row>
    <row r="10" ht="15" customHeight="1" s="28">
      <c r="A10" s="35" t="inlineStr">
        <is>
          <t>API-06</t>
        </is>
      </c>
      <c r="B10" s="35" t="inlineStr">
        <is>
          <t>GET</t>
        </is>
      </c>
      <c r="C10" s="35" t="inlineStr">
        <is>
          <t>/api/contacts/[id]</t>
        </is>
      </c>
      <c r="D10" s="36" t="inlineStr">
        <is>
          <t>コンタクト詳細</t>
        </is>
      </c>
      <c r="E10" s="35" t="inlineStr">
        <is>
          <t>-</t>
        </is>
      </c>
      <c r="F10" s="35" t="inlineStr">
        <is>
          <t>Contact + meetings + threads</t>
        </is>
      </c>
      <c r="G10" s="35" t="inlineStr">
        <is>
          <t>session</t>
        </is>
      </c>
      <c r="H10" s="36" t="n"/>
      <c r="I10" s="42" t="inlineStr">
        <is>
          <t>P1</t>
        </is>
      </c>
    </row>
    <row r="11" ht="15" customHeight="1" s="28">
      <c r="A11" s="35" t="inlineStr">
        <is>
          <t>API-07</t>
        </is>
      </c>
      <c r="B11" s="35" t="inlineStr">
        <is>
          <t>PATCH</t>
        </is>
      </c>
      <c r="C11" s="35" t="inlineStr">
        <is>
          <t>/api/contacts/[id]</t>
        </is>
      </c>
      <c r="D11" s="36" t="inlineStr">
        <is>
          <t>コンタクト編集</t>
        </is>
      </c>
      <c r="E11" s="35" t="inlineStr">
        <is>
          <t>Partial&lt;Contact&gt;</t>
        </is>
      </c>
      <c r="F11" s="35" t="inlineStr">
        <is>
          <t>Contact</t>
        </is>
      </c>
      <c r="G11" s="35" t="inlineStr">
        <is>
          <t>session(owner)</t>
        </is>
      </c>
      <c r="H11" s="35" t="inlineStr">
        <is>
          <t>audit_logs</t>
        </is>
      </c>
      <c r="I11" s="42" t="inlineStr">
        <is>
          <t>P1</t>
        </is>
      </c>
    </row>
    <row r="12" ht="15" customHeight="1" s="28">
      <c r="A12" s="35" t="inlineStr">
        <is>
          <t>API-08</t>
        </is>
      </c>
      <c r="B12" s="35" t="inlineStr">
        <is>
          <t>POST</t>
        </is>
      </c>
      <c r="C12" s="35" t="inlineStr">
        <is>
          <t>/api/contacts/duplicates/resolve</t>
        </is>
      </c>
      <c r="D12" s="36" t="inlineStr">
        <is>
          <t>重複マージ処理</t>
        </is>
      </c>
      <c r="E12" s="35" t="inlineStr">
        <is>
          <t>{duplicate_id, resolution, merge_strategy}</t>
        </is>
      </c>
      <c r="F12" s="35" t="inlineStr">
        <is>
          <t>Contact</t>
        </is>
      </c>
      <c r="G12" s="35" t="inlineStr">
        <is>
          <t>session</t>
        </is>
      </c>
      <c r="H12" s="36" t="n"/>
      <c r="I12" s="42" t="inlineStr">
        <is>
          <t>P1</t>
        </is>
      </c>
    </row>
    <row r="13" ht="15" customHeight="1" s="28">
      <c r="A13" s="35" t="inlineStr">
        <is>
          <t>API-09</t>
        </is>
      </c>
      <c r="B13" s="35" t="inlineStr">
        <is>
          <t>GET</t>
        </is>
      </c>
      <c r="C13" s="35" t="inlineStr">
        <is>
          <t>/api/availability</t>
        </is>
      </c>
      <c r="D13" s="36" t="inlineStr">
        <is>
          <t>空き枠取得</t>
        </is>
      </c>
      <c r="E13" s="35" t="inlineStr">
        <is>
          <t>?user_ids=&amp;duration=&amp;range_days=</t>
        </is>
      </c>
      <c r="F13" s="35" t="inlineStr">
        <is>
          <t>[{start, end}]</t>
        </is>
      </c>
      <c r="G13" s="35" t="inlineStr">
        <is>
          <t>session</t>
        </is>
      </c>
      <c r="H13" s="35" t="inlineStr">
        <is>
          <t>Google Calendar API freebusy 呼び出し</t>
        </is>
      </c>
      <c r="I13" s="43" t="inlineStr">
        <is>
          <t>P2</t>
        </is>
      </c>
    </row>
    <row r="14" ht="29.85" customHeight="1" s="28">
      <c r="A14" s="35" t="inlineStr">
        <is>
          <t>API-10</t>
        </is>
      </c>
      <c r="B14" s="35" t="inlineStr">
        <is>
          <t>POST</t>
        </is>
      </c>
      <c r="C14" s="35" t="inlineStr">
        <is>
          <t>/api/scheduling/start</t>
        </is>
      </c>
      <c r="D14" s="36" t="inlineStr">
        <is>
          <t>日程調整起動</t>
        </is>
      </c>
      <c r="E14" s="35" t="inlineStr">
        <is>
          <t>{contact_id, attendee_user_ids, slots, template_id, custom_message}</t>
        </is>
      </c>
      <c r="F14" s="35" t="inlineStr">
        <is>
          <t>{thread_id, draft_id}</t>
        </is>
      </c>
      <c r="G14" s="35" t="inlineStr">
        <is>
          <t>session</t>
        </is>
      </c>
      <c r="H14" s="35" t="inlineStr">
        <is>
          <t>email_threads作成、scheduling_proposals作成、ドラフト保存</t>
        </is>
      </c>
      <c r="I14" s="43" t="inlineStr">
        <is>
          <t>P2</t>
        </is>
      </c>
    </row>
    <row r="15" ht="15" customHeight="1" s="28">
      <c r="A15" s="35" t="inlineStr">
        <is>
          <t>API-11</t>
        </is>
      </c>
      <c r="B15" s="35" t="inlineStr">
        <is>
          <t>POST</t>
        </is>
      </c>
      <c r="C15" s="35" t="inlineStr">
        <is>
          <t>/api/email-drafts/[id]/send</t>
        </is>
      </c>
      <c r="D15" s="36" t="inlineStr">
        <is>
          <t>ドラフト送信</t>
        </is>
      </c>
      <c r="E15" s="35" t="inlineStr">
        <is>
          <t>-</t>
        </is>
      </c>
      <c r="F15" s="35" t="inlineStr">
        <is>
          <t>{message_id}</t>
        </is>
      </c>
      <c r="G15" s="35" t="inlineStr">
        <is>
          <t>session(owner)</t>
        </is>
      </c>
      <c r="H15" s="35" t="inlineStr">
        <is>
          <t>Gmail API送信、email_messages作成</t>
        </is>
      </c>
      <c r="I15" s="43" t="inlineStr">
        <is>
          <t>P2</t>
        </is>
      </c>
    </row>
    <row r="16" ht="15" customHeight="1" s="28">
      <c r="A16" s="35" t="inlineStr">
        <is>
          <t>API-12</t>
        </is>
      </c>
      <c r="B16" s="35" t="inlineStr">
        <is>
          <t>GET</t>
        </is>
      </c>
      <c r="C16" s="35" t="inlineStr">
        <is>
          <t>/api/scheduling/pending</t>
        </is>
      </c>
      <c r="D16" s="36" t="inlineStr">
        <is>
          <t>パース確認待ち</t>
        </is>
      </c>
      <c r="E16" s="35" t="inlineStr">
        <is>
          <t>-</t>
        </is>
      </c>
      <c r="F16" s="35" t="inlineStr">
        <is>
          <t>[ProposalWithReply]</t>
        </is>
      </c>
      <c r="G16" s="35" t="inlineStr">
        <is>
          <t>session</t>
        </is>
      </c>
      <c r="H16" s="36" t="n"/>
      <c r="I16" s="43" t="inlineStr">
        <is>
          <t>P2</t>
        </is>
      </c>
    </row>
    <row r="17" ht="29.85" customHeight="1" s="28">
      <c r="A17" s="35" t="inlineStr">
        <is>
          <t>API-13</t>
        </is>
      </c>
      <c r="B17" s="35" t="inlineStr">
        <is>
          <t>POST</t>
        </is>
      </c>
      <c r="C17" s="35" t="inlineStr">
        <is>
          <t>/api/scheduling/[id]/confirm</t>
        </is>
      </c>
      <c r="D17" s="36" t="inlineStr">
        <is>
          <t>日程確定</t>
        </is>
      </c>
      <c r="E17" s="35" t="inlineStr">
        <is>
          <t>{slot_index} or {custom_slot}</t>
        </is>
      </c>
      <c r="F17" s="35" t="inlineStr">
        <is>
          <t>{meeting_id}</t>
        </is>
      </c>
      <c r="G17" s="35" t="inlineStr">
        <is>
          <t>session</t>
        </is>
      </c>
      <c r="H17" s="35" t="inlineStr">
        <is>
          <t>meetings作成、Calendar event作成、Zoom作成、確認メール送信</t>
        </is>
      </c>
      <c r="I17" s="43" t="inlineStr">
        <is>
          <t>P2</t>
        </is>
      </c>
    </row>
    <row r="18" ht="15" customHeight="1" s="28">
      <c r="A18" s="35" t="inlineStr">
        <is>
          <t>API-14</t>
        </is>
      </c>
      <c r="B18" s="35" t="inlineStr">
        <is>
          <t>GET</t>
        </is>
      </c>
      <c r="C18" s="35" t="inlineStr">
        <is>
          <t>/api/meetings</t>
        </is>
      </c>
      <c r="D18" s="36" t="inlineStr">
        <is>
          <t>商談一覧</t>
        </is>
      </c>
      <c r="E18" s="35" t="inlineStr">
        <is>
          <t>?stage=&amp;status=&amp;q=</t>
        </is>
      </c>
      <c r="F18" s="35" t="inlineStr">
        <is>
          <t>[Meeting]</t>
        </is>
      </c>
      <c r="G18" s="35" t="inlineStr">
        <is>
          <t>session</t>
        </is>
      </c>
      <c r="H18" s="36" t="n"/>
      <c r="I18" s="42" t="inlineStr">
        <is>
          <t>P1</t>
        </is>
      </c>
    </row>
    <row r="19" ht="15" customHeight="1" s="28">
      <c r="A19" s="35" t="inlineStr">
        <is>
          <t>API-15</t>
        </is>
      </c>
      <c r="B19" s="35" t="inlineStr">
        <is>
          <t>GET</t>
        </is>
      </c>
      <c r="C19" s="35" t="inlineStr">
        <is>
          <t>/api/meetings/[id]</t>
        </is>
      </c>
      <c r="D19" s="36" t="inlineStr">
        <is>
          <t>商談詳細</t>
        </is>
      </c>
      <c r="E19" s="35" t="inlineStr">
        <is>
          <t>-</t>
        </is>
      </c>
      <c r="F19" s="35" t="inlineStr">
        <is>
          <t>Meeting + attendees + recording + notes</t>
        </is>
      </c>
      <c r="G19" s="35" t="inlineStr">
        <is>
          <t>session</t>
        </is>
      </c>
      <c r="H19" s="36" t="n"/>
      <c r="I19" s="42" t="inlineStr">
        <is>
          <t>P1</t>
        </is>
      </c>
    </row>
    <row r="20" ht="15" customHeight="1" s="28">
      <c r="A20" s="35" t="inlineStr">
        <is>
          <t>API-16</t>
        </is>
      </c>
      <c r="B20" s="35" t="inlineStr">
        <is>
          <t>PATCH</t>
        </is>
      </c>
      <c r="C20" s="35" t="inlineStr">
        <is>
          <t>/api/meetings/[id]</t>
        </is>
      </c>
      <c r="D20" s="36" t="inlineStr">
        <is>
          <t>商談編集</t>
        </is>
      </c>
      <c r="E20" s="35" t="inlineStr">
        <is>
          <t>Partial&lt;Meeting&gt;</t>
        </is>
      </c>
      <c r="F20" s="35" t="inlineStr">
        <is>
          <t>Meeting</t>
        </is>
      </c>
      <c r="G20" s="35" t="inlineStr">
        <is>
          <t>session</t>
        </is>
      </c>
      <c r="H20" s="35" t="inlineStr">
        <is>
          <t>audit_logs</t>
        </is>
      </c>
      <c r="I20" s="42" t="inlineStr">
        <is>
          <t>P1</t>
        </is>
      </c>
    </row>
    <row r="21" ht="15" customHeight="1" s="28">
      <c r="A21" s="35" t="inlineStr">
        <is>
          <t>API-17</t>
        </is>
      </c>
      <c r="B21" s="35" t="inlineStr">
        <is>
          <t>POST</t>
        </is>
      </c>
      <c r="C21" s="35" t="inlineStr">
        <is>
          <t>/api/meetings/[id]/notes</t>
        </is>
      </c>
      <c r="D21" s="36" t="inlineStr">
        <is>
          <t>リアルタイムメモ追加</t>
        </is>
      </c>
      <c r="E21" s="35" t="inlineStr">
        <is>
          <t>{content, timestamp_seconds}</t>
        </is>
      </c>
      <c r="F21" s="35" t="inlineStr">
        <is>
          <t>Note</t>
        </is>
      </c>
      <c r="G21" s="35" t="inlineStr">
        <is>
          <t>session</t>
        </is>
      </c>
      <c r="H21" s="36" t="n"/>
      <c r="I21" s="43" t="inlineStr">
        <is>
          <t>P2</t>
        </is>
      </c>
    </row>
    <row r="22" ht="15" customHeight="1" s="28">
      <c r="A22" s="35" t="inlineStr">
        <is>
          <t>API-18</t>
        </is>
      </c>
      <c r="B22" s="35" t="inlineStr">
        <is>
          <t>POST</t>
        </is>
      </c>
      <c r="C22" s="35" t="inlineStr">
        <is>
          <t>/api/meetings/[id]/reschedule</t>
        </is>
      </c>
      <c r="D22" s="36" t="inlineStr">
        <is>
          <t>リスケ</t>
        </is>
      </c>
      <c r="E22" s="35" t="inlineStr">
        <is>
          <t>{new_proposal_slots}</t>
        </is>
      </c>
      <c r="F22" s="35" t="inlineStr">
        <is>
          <t>{thread_id}</t>
        </is>
      </c>
      <c r="G22" s="35" t="inlineStr">
        <is>
          <t>session</t>
        </is>
      </c>
      <c r="H22" s="35" t="inlineStr">
        <is>
          <t>Calendar/Zoom更新、再提案メール送信</t>
        </is>
      </c>
      <c r="I22" s="43" t="inlineStr">
        <is>
          <t>P2</t>
        </is>
      </c>
    </row>
    <row r="23" ht="15" customHeight="1" s="28">
      <c r="A23" s="35" t="inlineStr">
        <is>
          <t>API-19</t>
        </is>
      </c>
      <c r="B23" s="35" t="inlineStr">
        <is>
          <t>POST</t>
        </is>
      </c>
      <c r="C23" s="35" t="inlineStr">
        <is>
          <t>/api/webhooks/zoom</t>
        </is>
      </c>
      <c r="D23" s="35" t="inlineStr">
        <is>
          <t>Zoom Webhook</t>
        </is>
      </c>
      <c r="E23" s="35" t="inlineStr">
        <is>
          <t>Zoom event payload</t>
        </is>
      </c>
      <c r="F23" s="35" t="inlineStr">
        <is>
          <t>200 OK</t>
        </is>
      </c>
      <c r="G23" s="35" t="inlineStr">
        <is>
          <t>Zoom署名検証</t>
        </is>
      </c>
      <c r="H23" s="35" t="inlineStr">
        <is>
          <t>pgmq:process_recording 投入</t>
        </is>
      </c>
      <c r="I23" s="42" t="inlineStr">
        <is>
          <t>P1</t>
        </is>
      </c>
    </row>
    <row r="24" ht="15" customHeight="1" s="28">
      <c r="A24" s="35" t="inlineStr">
        <is>
          <t>API-20</t>
        </is>
      </c>
      <c r="B24" s="35" t="inlineStr">
        <is>
          <t>GET</t>
        </is>
      </c>
      <c r="C24" s="35" t="inlineStr">
        <is>
          <t>/api/recordings</t>
        </is>
      </c>
      <c r="D24" s="36" t="inlineStr">
        <is>
          <t>録画一覧</t>
        </is>
      </c>
      <c r="E24" s="35" t="inlineStr">
        <is>
          <t>?q=&amp;meeting_id=&amp;date_range=</t>
        </is>
      </c>
      <c r="F24" s="35" t="inlineStr">
        <is>
          <t>[Recording]</t>
        </is>
      </c>
      <c r="G24" s="35" t="inlineStr">
        <is>
          <t>session</t>
        </is>
      </c>
      <c r="H24" s="36" t="n"/>
      <c r="I24" s="42" t="inlineStr">
        <is>
          <t>P1</t>
        </is>
      </c>
    </row>
    <row r="25" ht="15" customHeight="1" s="28">
      <c r="A25" s="35" t="inlineStr">
        <is>
          <t>API-21</t>
        </is>
      </c>
      <c r="B25" s="35" t="inlineStr">
        <is>
          <t>GET</t>
        </is>
      </c>
      <c r="C25" s="35" t="inlineStr">
        <is>
          <t>/api/recordings/[id]</t>
        </is>
      </c>
      <c r="D25" s="36" t="inlineStr">
        <is>
          <t>録画詳細</t>
        </is>
      </c>
      <c r="E25" s="35" t="inlineStr">
        <is>
          <t>-</t>
        </is>
      </c>
      <c r="F25" s="35" t="inlineStr">
        <is>
          <t>Recording + clips</t>
        </is>
      </c>
      <c r="G25" s="35" t="inlineStr">
        <is>
          <t>session</t>
        </is>
      </c>
      <c r="H25" s="35" t="inlineStr">
        <is>
          <t>audit:view</t>
        </is>
      </c>
      <c r="I25" s="42" t="inlineStr">
        <is>
          <t>P1</t>
        </is>
      </c>
    </row>
    <row r="26" ht="23.85" customHeight="1" s="28">
      <c r="A26" s="35" t="inlineStr">
        <is>
          <t>API-22</t>
        </is>
      </c>
      <c r="B26" s="35" t="inlineStr">
        <is>
          <t>PATCH</t>
        </is>
      </c>
      <c r="C26" s="35" t="inlineStr">
        <is>
          <t>/api/recordings/[id]/insights</t>
        </is>
      </c>
      <c r="D26" s="35" t="inlineStr">
        <is>
          <t>AI抽出修正</t>
        </is>
      </c>
      <c r="E26" s="35" t="inlineStr">
        <is>
          <t>{commitments?, customer_needs?, objections?}</t>
        </is>
      </c>
      <c r="F26" s="35" t="inlineStr">
        <is>
          <t>Recording</t>
        </is>
      </c>
      <c r="G26" s="35" t="inlineStr">
        <is>
          <t>session</t>
        </is>
      </c>
      <c r="H26" s="36" t="inlineStr">
        <is>
          <t>修正後に該当embedding再生成</t>
        </is>
      </c>
      <c r="I26" s="42" t="inlineStr">
        <is>
          <t>P1</t>
        </is>
      </c>
    </row>
    <row r="27" ht="23.85" customHeight="1" s="28">
      <c r="A27" s="35" t="inlineStr">
        <is>
          <t>API-23</t>
        </is>
      </c>
      <c r="B27" s="35" t="inlineStr">
        <is>
          <t>POST</t>
        </is>
      </c>
      <c r="C27" s="35" t="inlineStr">
        <is>
          <t>/api/clips</t>
        </is>
      </c>
      <c r="D27" s="36" t="inlineStr">
        <is>
          <t>クリップ生成</t>
        </is>
      </c>
      <c r="E27" s="35" t="inlineStr">
        <is>
          <t>{recording_id, start_seconds, end_seconds, title}</t>
        </is>
      </c>
      <c r="F27" s="35" t="inlineStr">
        <is>
          <t>Clip</t>
        </is>
      </c>
      <c r="G27" s="35" t="inlineStr">
        <is>
          <t>session</t>
        </is>
      </c>
      <c r="H27" s="35" t="inlineStr">
        <is>
          <t>pgmq:generate_clip 投入</t>
        </is>
      </c>
      <c r="I27" s="43" t="inlineStr">
        <is>
          <t>P2</t>
        </is>
      </c>
    </row>
    <row r="28" ht="23.85" customHeight="1" s="28">
      <c r="A28" s="35" t="inlineStr">
        <is>
          <t>API-24</t>
        </is>
      </c>
      <c r="B28" s="35" t="inlineStr">
        <is>
          <t>POST</t>
        </is>
      </c>
      <c r="C28" s="35" t="inlineStr">
        <is>
          <t>/api/search</t>
        </is>
      </c>
      <c r="D28" s="36" t="inlineStr">
        <is>
          <t>ハイブリッド検索</t>
        </is>
      </c>
      <c r="E28" s="35" t="inlineStr">
        <is>
          <t>{query, filters?}</t>
        </is>
      </c>
      <c r="F28" s="35" t="inlineStr">
        <is>
          <t>{groups:{recordings:[],documents:[],contacts:[]}}</t>
        </is>
      </c>
      <c r="G28" s="35" t="inlineStr">
        <is>
          <t>session</t>
        </is>
      </c>
      <c r="H28" s="36" t="n"/>
      <c r="I28" s="42" t="inlineStr">
        <is>
          <t>P1</t>
        </is>
      </c>
    </row>
    <row r="29" ht="15" customHeight="1" s="28">
      <c r="A29" s="35" t="inlineStr">
        <is>
          <t>API-25</t>
        </is>
      </c>
      <c r="B29" s="35" t="inlineStr">
        <is>
          <t>POST</t>
        </is>
      </c>
      <c r="C29" s="35" t="inlineStr">
        <is>
          <t>/api/chat</t>
        </is>
      </c>
      <c r="D29" s="36" t="inlineStr">
        <is>
          <t>ナレッジチャット(SSE)</t>
        </is>
      </c>
      <c r="E29" s="35" t="inlineStr">
        <is>
          <t>{messages:[]}</t>
        </is>
      </c>
      <c r="F29" s="35" t="inlineStr">
        <is>
          <t>streaming text + sources</t>
        </is>
      </c>
      <c r="G29" s="35" t="inlineStr">
        <is>
          <t>session</t>
        </is>
      </c>
      <c r="H29" s="35" t="inlineStr">
        <is>
          <t>llm_usage_logs記録</t>
        </is>
      </c>
      <c r="I29" s="44" t="inlineStr">
        <is>
          <t>P3</t>
        </is>
      </c>
    </row>
    <row r="30" ht="26.85" customHeight="1" s="28">
      <c r="A30" s="35" t="inlineStr">
        <is>
          <t>API-26</t>
        </is>
      </c>
      <c r="B30" s="35" t="inlineStr">
        <is>
          <t>POST</t>
        </is>
      </c>
      <c r="C30" s="35" t="inlineStr">
        <is>
          <t>/api/knowledge</t>
        </is>
      </c>
      <c r="D30" s="36" t="inlineStr">
        <is>
          <t>ナレッジ追加</t>
        </is>
      </c>
      <c r="E30" s="35" t="inlineStr">
        <is>
          <t>multipart: file, metadata</t>
        </is>
      </c>
      <c r="F30" s="35" t="inlineStr">
        <is>
          <t>KnowledgeItem</t>
        </is>
      </c>
      <c r="G30" s="35" t="inlineStr">
        <is>
          <t>session</t>
        </is>
      </c>
      <c r="H30" s="35" t="inlineStr">
        <is>
          <t>pgmq:generate_embeddings + analyze_document投入</t>
        </is>
      </c>
      <c r="I30" s="43" t="inlineStr">
        <is>
          <t>P2</t>
        </is>
      </c>
    </row>
    <row r="31" ht="15" customHeight="1" s="28">
      <c r="A31" s="35" t="inlineStr">
        <is>
          <t>API-27</t>
        </is>
      </c>
      <c r="B31" s="35" t="inlineStr">
        <is>
          <t>GET</t>
        </is>
      </c>
      <c r="C31" s="35" t="inlineStr">
        <is>
          <t>/api/knowledge</t>
        </is>
      </c>
      <c r="D31" s="36" t="inlineStr">
        <is>
          <t>ナレッジ一覧</t>
        </is>
      </c>
      <c r="E31" s="35" t="inlineStr">
        <is>
          <t>?type=&amp;tag=&amp;q=</t>
        </is>
      </c>
      <c r="F31" s="35" t="inlineStr">
        <is>
          <t>[KnowledgeItem]</t>
        </is>
      </c>
      <c r="G31" s="35" t="inlineStr">
        <is>
          <t>session</t>
        </is>
      </c>
      <c r="H31" s="36" t="n"/>
      <c r="I31" s="43" t="inlineStr">
        <is>
          <t>P2</t>
        </is>
      </c>
    </row>
    <row r="32" ht="15" customHeight="1" s="28">
      <c r="A32" s="35" t="inlineStr">
        <is>
          <t>API-28</t>
        </is>
      </c>
      <c r="B32" s="35" t="inlineStr">
        <is>
          <t>PATCH</t>
        </is>
      </c>
      <c r="C32" s="35" t="inlineStr">
        <is>
          <t>/api/knowledge/[id]</t>
        </is>
      </c>
      <c r="D32" s="36" t="inlineStr">
        <is>
          <t>編集・タグ変更</t>
        </is>
      </c>
      <c r="E32" s="35" t="inlineStr">
        <is>
          <t>Partial</t>
        </is>
      </c>
      <c r="F32" s="35" t="inlineStr">
        <is>
          <t>KnowledgeItem</t>
        </is>
      </c>
      <c r="G32" s="35" t="inlineStr">
        <is>
          <t>session</t>
        </is>
      </c>
      <c r="H32" s="36" t="inlineStr">
        <is>
          <t>更新時embed再生成</t>
        </is>
      </c>
      <c r="I32" s="43" t="inlineStr">
        <is>
          <t>P2</t>
        </is>
      </c>
    </row>
    <row r="33" ht="15" customHeight="1" s="28">
      <c r="A33" s="35" t="inlineStr">
        <is>
          <t>API-29</t>
        </is>
      </c>
      <c r="B33" s="35" t="inlineStr">
        <is>
          <t>POST</t>
        </is>
      </c>
      <c r="C33" s="35" t="inlineStr">
        <is>
          <t>/api/admin/knowledge/[id]/approve</t>
        </is>
      </c>
      <c r="D33" s="36" t="inlineStr">
        <is>
          <t>承認</t>
        </is>
      </c>
      <c r="E33" s="35" t="inlineStr">
        <is>
          <t>-</t>
        </is>
      </c>
      <c r="F33" s="35" t="inlineStr">
        <is>
          <t>{ok}</t>
        </is>
      </c>
      <c r="G33" s="35" t="inlineStr">
        <is>
          <t>manager</t>
        </is>
      </c>
      <c r="H33" s="35" t="inlineStr">
        <is>
          <t>visibilityをorgに昇格</t>
        </is>
      </c>
      <c r="I33" s="43" t="inlineStr">
        <is>
          <t>P2</t>
        </is>
      </c>
    </row>
    <row r="34" ht="15" customHeight="1" s="28">
      <c r="A34" s="35" t="inlineStr">
        <is>
          <t>API-30</t>
        </is>
      </c>
      <c r="B34" s="35" t="inlineStr">
        <is>
          <t>GET</t>
        </is>
      </c>
      <c r="C34" s="35" t="inlineStr">
        <is>
          <t>/api/roleplay/scenarios</t>
        </is>
      </c>
      <c r="D34" s="36" t="inlineStr">
        <is>
          <t>シナリオ一覧</t>
        </is>
      </c>
      <c r="E34" s="35" t="inlineStr">
        <is>
          <t>?difficulty=&amp;stage=</t>
        </is>
      </c>
      <c r="F34" s="35" t="inlineStr">
        <is>
          <t>[Scenario]</t>
        </is>
      </c>
      <c r="G34" s="35" t="inlineStr">
        <is>
          <t>session</t>
        </is>
      </c>
      <c r="H34" s="36" t="n"/>
      <c r="I34" s="44" t="inlineStr">
        <is>
          <t>P3</t>
        </is>
      </c>
    </row>
    <row r="35" ht="15" customHeight="1" s="28">
      <c r="A35" s="35" t="inlineStr">
        <is>
          <t>API-31</t>
        </is>
      </c>
      <c r="B35" s="35" t="inlineStr">
        <is>
          <t>POST</t>
        </is>
      </c>
      <c r="C35" s="35" t="inlineStr">
        <is>
          <t>/api/roleplay/scenarios/generate</t>
        </is>
      </c>
      <c r="D35" s="36" t="inlineStr">
        <is>
          <t>自動生成</t>
        </is>
      </c>
      <c r="E35" s="35" t="inlineStr">
        <is>
          <t>{from_meeting_ids:[], persona_overrides?}</t>
        </is>
      </c>
      <c r="F35" s="35" t="inlineStr">
        <is>
          <t>Scenario</t>
        </is>
      </c>
      <c r="G35" s="35" t="inlineStr">
        <is>
          <t>session</t>
        </is>
      </c>
      <c r="H35" s="35" t="inlineStr">
        <is>
          <t>Claude呼び出し、scenarios保存</t>
        </is>
      </c>
      <c r="I35" s="44" t="inlineStr">
        <is>
          <t>P3</t>
        </is>
      </c>
    </row>
    <row r="36" ht="15" customHeight="1" s="28">
      <c r="A36" s="35" t="inlineStr">
        <is>
          <t>API-32</t>
        </is>
      </c>
      <c r="B36" s="35" t="inlineStr">
        <is>
          <t>POST</t>
        </is>
      </c>
      <c r="C36" s="35" t="inlineStr">
        <is>
          <t>/api/roleplay/sessions</t>
        </is>
      </c>
      <c r="D36" s="36" t="inlineStr">
        <is>
          <t>セッション開始</t>
        </is>
      </c>
      <c r="E36" s="35" t="inlineStr">
        <is>
          <t>{scenario_id, mode}</t>
        </is>
      </c>
      <c r="F36" s="35" t="inlineStr">
        <is>
          <t>Session</t>
        </is>
      </c>
      <c r="G36" s="35" t="inlineStr">
        <is>
          <t>session</t>
        </is>
      </c>
      <c r="H36" s="36" t="n"/>
      <c r="I36" s="44" t="inlineStr">
        <is>
          <t>P3</t>
        </is>
      </c>
    </row>
    <row r="37" ht="15" customHeight="1" s="28">
      <c r="A37" s="35" t="inlineStr">
        <is>
          <t>API-33</t>
        </is>
      </c>
      <c r="B37" s="35" t="inlineStr">
        <is>
          <t>POST</t>
        </is>
      </c>
      <c r="C37" s="35" t="inlineStr">
        <is>
          <t>/api/roleplay/sessions/[id]/turns</t>
        </is>
      </c>
      <c r="D37" s="36" t="inlineStr">
        <is>
          <t>ユーザー発話送信</t>
        </is>
      </c>
      <c r="E37" s="35" t="inlineStr">
        <is>
          <t>{content}</t>
        </is>
      </c>
      <c r="F37" s="35" t="inlineStr">
        <is>
          <t>{ai_response, conversation}</t>
        </is>
      </c>
      <c r="G37" s="35" t="inlineStr">
        <is>
          <t>session</t>
        </is>
      </c>
      <c r="H37" s="35" t="inlineStr">
        <is>
          <t>Claude streaming、conversation更新</t>
        </is>
      </c>
      <c r="I37" s="44" t="inlineStr">
        <is>
          <t>P3</t>
        </is>
      </c>
    </row>
    <row r="38" ht="29.85" customHeight="1" s="28">
      <c r="A38" s="35" t="inlineStr">
        <is>
          <t>API-34</t>
        </is>
      </c>
      <c r="B38" s="35" t="inlineStr">
        <is>
          <t>POST</t>
        </is>
      </c>
      <c r="C38" s="35" t="inlineStr">
        <is>
          <t>/api/roleplay/sessions/[id]/complete</t>
        </is>
      </c>
      <c r="D38" s="36" t="inlineStr">
        <is>
          <t>セッション完了+評価</t>
        </is>
      </c>
      <c r="E38" s="35" t="inlineStr">
        <is>
          <t>-</t>
        </is>
      </c>
      <c r="F38" s="35" t="inlineStr">
        <is>
          <t>Evaluation</t>
        </is>
      </c>
      <c r="G38" s="35" t="inlineStr">
        <is>
          <t>session</t>
        </is>
      </c>
      <c r="H38" s="35" t="inlineStr">
        <is>
          <t>Claude評価生成、roleplay_evaluations保存</t>
        </is>
      </c>
      <c r="I38" s="44" t="inlineStr">
        <is>
          <t>P3</t>
        </is>
      </c>
    </row>
    <row r="39" ht="15" customHeight="1" s="28">
      <c r="A39" s="35" t="inlineStr">
        <is>
          <t>API-35</t>
        </is>
      </c>
      <c r="B39" s="35" t="inlineStr">
        <is>
          <t>POST</t>
        </is>
      </c>
      <c r="C39" s="35" t="inlineStr">
        <is>
          <t>/api/roleplay/voice/stt</t>
        </is>
      </c>
      <c r="D39" s="36" t="inlineStr">
        <is>
          <t>音声→テキスト</t>
        </is>
      </c>
      <c r="E39" s="35" t="inlineStr">
        <is>
          <t>audio/webm</t>
        </is>
      </c>
      <c r="F39" s="35" t="inlineStr">
        <is>
          <t>{text}</t>
        </is>
      </c>
      <c r="G39" s="35" t="inlineStr">
        <is>
          <t>session</t>
        </is>
      </c>
      <c r="H39" s="36" t="n"/>
      <c r="I39" s="44" t="inlineStr">
        <is>
          <t>P3</t>
        </is>
      </c>
    </row>
    <row r="40" ht="15" customHeight="1" s="28">
      <c r="A40" s="35" t="inlineStr">
        <is>
          <t>API-36</t>
        </is>
      </c>
      <c r="B40" s="35" t="inlineStr">
        <is>
          <t>POST</t>
        </is>
      </c>
      <c r="C40" s="35" t="inlineStr">
        <is>
          <t>/api/roleplay/voice/tts</t>
        </is>
      </c>
      <c r="D40" s="36" t="inlineStr">
        <is>
          <t>テキスト→音声</t>
        </is>
      </c>
      <c r="E40" s="35" t="inlineStr">
        <is>
          <t>{text, voice_id}</t>
        </is>
      </c>
      <c r="F40" s="35" t="inlineStr">
        <is>
          <t>audio/mp3</t>
        </is>
      </c>
      <c r="G40" s="35" t="inlineStr">
        <is>
          <t>session</t>
        </is>
      </c>
      <c r="H40" s="36" t="n"/>
      <c r="I40" s="44" t="inlineStr">
        <is>
          <t>P3</t>
        </is>
      </c>
    </row>
    <row r="41" ht="29.85" customHeight="1" s="28">
      <c r="A41" s="35" t="inlineStr">
        <is>
          <t>API-37</t>
        </is>
      </c>
      <c r="B41" s="35" t="inlineStr">
        <is>
          <t>POST</t>
        </is>
      </c>
      <c r="C41" s="35" t="inlineStr">
        <is>
          <t>/api/handoffs</t>
        </is>
      </c>
      <c r="D41" s="36" t="inlineStr">
        <is>
          <t>引き継ぎ書作成(自動充填)</t>
        </is>
      </c>
      <c r="E41" s="35" t="inlineStr">
        <is>
          <t>{contract_id, to_user_id}</t>
        </is>
      </c>
      <c r="F41" s="35" t="inlineStr">
        <is>
          <t>Handoff(draft)</t>
        </is>
      </c>
      <c r="G41" s="35" t="inlineStr">
        <is>
          <t>session</t>
        </is>
      </c>
      <c r="H41" s="35" t="inlineStr">
        <is>
          <t>Claudeが過去商談から構造化引き継ぎ書生成</t>
        </is>
      </c>
      <c r="I41" s="43" t="inlineStr">
        <is>
          <t>P2</t>
        </is>
      </c>
    </row>
    <row r="42" ht="15" customHeight="1" s="28">
      <c r="A42" s="35" t="inlineStr">
        <is>
          <t>API-38</t>
        </is>
      </c>
      <c r="B42" s="35" t="inlineStr">
        <is>
          <t>PATCH</t>
        </is>
      </c>
      <c r="C42" s="35" t="inlineStr">
        <is>
          <t>/api/handoffs/[id]</t>
        </is>
      </c>
      <c r="D42" s="36" t="inlineStr">
        <is>
          <t>編集</t>
        </is>
      </c>
      <c r="E42" s="35" t="inlineStr">
        <is>
          <t>Partial</t>
        </is>
      </c>
      <c r="F42" s="35" t="inlineStr">
        <is>
          <t>Handoff</t>
        </is>
      </c>
      <c r="G42" s="35" t="inlineStr">
        <is>
          <t>session</t>
        </is>
      </c>
      <c r="H42" s="36" t="n"/>
      <c r="I42" s="43" t="inlineStr">
        <is>
          <t>P2</t>
        </is>
      </c>
    </row>
    <row r="43" ht="15" customHeight="1" s="28">
      <c r="A43" s="35" t="inlineStr">
        <is>
          <t>API-39</t>
        </is>
      </c>
      <c r="B43" s="35" t="inlineStr">
        <is>
          <t>POST</t>
        </is>
      </c>
      <c r="C43" s="35" t="inlineStr">
        <is>
          <t>/api/handoffs/[id]/submit</t>
        </is>
      </c>
      <c r="D43" s="36" t="inlineStr">
        <is>
          <t>提出</t>
        </is>
      </c>
      <c r="E43" s="35" t="inlineStr">
        <is>
          <t>-</t>
        </is>
      </c>
      <c r="F43" s="35" t="inlineStr">
        <is>
          <t>Handoff</t>
        </is>
      </c>
      <c r="G43" s="35" t="inlineStr">
        <is>
          <t>session</t>
        </is>
      </c>
      <c r="H43" s="36" t="inlineStr">
        <is>
          <t>通知送信</t>
        </is>
      </c>
      <c r="I43" s="43" t="inlineStr">
        <is>
          <t>P2</t>
        </is>
      </c>
    </row>
    <row r="44" ht="15" customHeight="1" s="28">
      <c r="A44" s="35" t="inlineStr">
        <is>
          <t>API-40</t>
        </is>
      </c>
      <c r="B44" s="35" t="inlineStr">
        <is>
          <t>POST</t>
        </is>
      </c>
      <c r="C44" s="35" t="inlineStr">
        <is>
          <t>/api/handoffs/[id]/accept</t>
        </is>
      </c>
      <c r="D44" s="35" t="inlineStr">
        <is>
          <t>CS側承認</t>
        </is>
      </c>
      <c r="E44" s="35" t="inlineStr">
        <is>
          <t>{comments?}</t>
        </is>
      </c>
      <c r="F44" s="35" t="inlineStr">
        <is>
          <t>Handoff</t>
        </is>
      </c>
      <c r="G44" s="35" t="inlineStr">
        <is>
          <t>session(to_user)</t>
        </is>
      </c>
      <c r="H44" s="36" t="n"/>
      <c r="I44" s="43" t="inlineStr">
        <is>
          <t>P2</t>
        </is>
      </c>
    </row>
    <row r="45" ht="23.85" customHeight="1" s="28">
      <c r="A45" s="35" t="inlineStr">
        <is>
          <t>API-41</t>
        </is>
      </c>
      <c r="B45" s="35" t="inlineStr">
        <is>
          <t>POST</t>
        </is>
      </c>
      <c r="C45" s="35" t="inlineStr">
        <is>
          <t>/api/shares</t>
        </is>
      </c>
      <c r="D45" s="36" t="inlineStr">
        <is>
          <t>共有リンク作成</t>
        </is>
      </c>
      <c r="E45" s="35" t="inlineStr">
        <is>
          <t>{resource_type, resource_id, expires_in, password?}</t>
        </is>
      </c>
      <c r="F45" s="35" t="inlineStr">
        <is>
          <t>{token, url}</t>
        </is>
      </c>
      <c r="G45" s="35" t="inlineStr">
        <is>
          <t>session</t>
        </is>
      </c>
      <c r="H45" s="36" t="n"/>
      <c r="I45" s="43" t="inlineStr">
        <is>
          <t>P2</t>
        </is>
      </c>
    </row>
    <row r="46" ht="15" customHeight="1" s="28">
      <c r="A46" s="35" t="inlineStr">
        <is>
          <t>API-42</t>
        </is>
      </c>
      <c r="B46" s="35" t="inlineStr">
        <is>
          <t>GET</t>
        </is>
      </c>
      <c r="C46" s="35" t="inlineStr">
        <is>
          <t>/api/share/[token]</t>
        </is>
      </c>
      <c r="D46" s="36" t="inlineStr">
        <is>
          <t>共有先閲覧</t>
        </is>
      </c>
      <c r="E46" s="35" t="inlineStr">
        <is>
          <t>?password=</t>
        </is>
      </c>
      <c r="F46" s="35" t="inlineStr">
        <is>
          <t>Resource</t>
        </is>
      </c>
      <c r="G46" s="36" t="inlineStr">
        <is>
          <t>不要(token)</t>
        </is>
      </c>
      <c r="H46" s="35" t="inlineStr">
        <is>
          <t>access_count++, audit</t>
        </is>
      </c>
      <c r="I46" s="43" t="inlineStr">
        <is>
          <t>P2</t>
        </is>
      </c>
    </row>
    <row r="47" ht="15" customHeight="1" s="28">
      <c r="A47" s="35" t="inlineStr">
        <is>
          <t>API-43</t>
        </is>
      </c>
      <c r="B47" s="35" t="inlineStr">
        <is>
          <t>POST</t>
        </is>
      </c>
      <c r="C47" s="35" t="inlineStr">
        <is>
          <t>/api/webhooks/gmail</t>
        </is>
      </c>
      <c r="D47" s="35" t="inlineStr">
        <is>
          <t>Gmail Pub/Sub通知</t>
        </is>
      </c>
      <c r="E47" s="35" t="inlineStr">
        <is>
          <t>Pub/Sub message</t>
        </is>
      </c>
      <c r="F47" s="35" t="inlineStr">
        <is>
          <t>200</t>
        </is>
      </c>
      <c r="G47" s="35" t="inlineStr">
        <is>
          <t>JWT検証</t>
        </is>
      </c>
      <c r="H47" s="35" t="inlineStr">
        <is>
          <t>pgmq:parse_email_reply投入</t>
        </is>
      </c>
      <c r="I47" s="43" t="inlineStr">
        <is>
          <t>P2</t>
        </is>
      </c>
    </row>
    <row r="48" ht="15" customHeight="1" s="28">
      <c r="A48" s="35" t="inlineStr">
        <is>
          <t>API-44</t>
        </is>
      </c>
      <c r="B48" s="35" t="inlineStr">
        <is>
          <t>GET</t>
        </is>
      </c>
      <c r="C48" s="35" t="inlineStr">
        <is>
          <t>/api/admin/users</t>
        </is>
      </c>
      <c r="D48" s="36" t="inlineStr">
        <is>
          <t>ユーザー一覧</t>
        </is>
      </c>
      <c r="E48" s="35" t="inlineStr">
        <is>
          <t>-</t>
        </is>
      </c>
      <c r="F48" s="35" t="inlineStr">
        <is>
          <t>[User]</t>
        </is>
      </c>
      <c r="G48" s="35" t="inlineStr">
        <is>
          <t>admin</t>
        </is>
      </c>
      <c r="H48" s="36" t="n"/>
      <c r="I48" s="42" t="inlineStr">
        <is>
          <t>P1</t>
        </is>
      </c>
    </row>
    <row r="49" ht="15" customHeight="1" s="28">
      <c r="A49" s="35" t="inlineStr">
        <is>
          <t>API-45</t>
        </is>
      </c>
      <c r="B49" s="35" t="inlineStr">
        <is>
          <t>POST</t>
        </is>
      </c>
      <c r="C49" s="35" t="inlineStr">
        <is>
          <t>/api/admin/users/invite</t>
        </is>
      </c>
      <c r="D49" s="36" t="inlineStr">
        <is>
          <t>招待</t>
        </is>
      </c>
      <c r="E49" s="35" t="inlineStr">
        <is>
          <t>{email, role}</t>
        </is>
      </c>
      <c r="F49" s="35" t="inlineStr">
        <is>
          <t>{ok}</t>
        </is>
      </c>
      <c r="G49" s="35" t="inlineStr">
        <is>
          <t>admin</t>
        </is>
      </c>
      <c r="H49" s="36" t="inlineStr">
        <is>
          <t>招待メール送信</t>
        </is>
      </c>
      <c r="I49" s="42" t="inlineStr">
        <is>
          <t>P1</t>
        </is>
      </c>
    </row>
    <row r="50" ht="29.85" customHeight="1" s="28">
      <c r="A50" s="35" t="inlineStr">
        <is>
          <t>API-46</t>
        </is>
      </c>
      <c r="B50" s="35" t="inlineStr">
        <is>
          <t>POST</t>
        </is>
      </c>
      <c r="C50" s="35" t="inlineStr">
        <is>
          <t>/api/admin/users/[id]/offboard</t>
        </is>
      </c>
      <c r="D50" s="36" t="inlineStr">
        <is>
          <t>退職処理</t>
        </is>
      </c>
      <c r="E50" s="35" t="inlineStr">
        <is>
          <t>{transfer_to_user_id}</t>
        </is>
      </c>
      <c r="F50" s="35" t="inlineStr">
        <is>
          <t>{ok}</t>
        </is>
      </c>
      <c r="G50" s="35" t="inlineStr">
        <is>
          <t>admin</t>
        </is>
      </c>
      <c r="H50" s="35" t="inlineStr">
        <is>
          <t>is_active=false, OAuthトークン削除, 担当移管</t>
        </is>
      </c>
      <c r="I50" s="42" t="inlineStr">
        <is>
          <t>P1</t>
        </is>
      </c>
    </row>
    <row r="51" ht="15" customHeight="1" s="28">
      <c r="A51" s="35" t="inlineStr">
        <is>
          <t>API-47</t>
        </is>
      </c>
      <c r="B51" s="35" t="inlineStr">
        <is>
          <t>GET</t>
        </is>
      </c>
      <c r="C51" s="35" t="inlineStr">
        <is>
          <t>/api/admin/audit</t>
        </is>
      </c>
      <c r="D51" s="36" t="inlineStr">
        <is>
          <t>監査ログ</t>
        </is>
      </c>
      <c r="E51" s="35" t="inlineStr">
        <is>
          <t>?user_id=&amp;action=&amp;from=&amp;to=</t>
        </is>
      </c>
      <c r="F51" s="35" t="inlineStr">
        <is>
          <t>[AuditLog]</t>
        </is>
      </c>
      <c r="G51" s="35" t="inlineStr">
        <is>
          <t>admin</t>
        </is>
      </c>
      <c r="H51" s="36" t="n"/>
      <c r="I51" s="43" t="inlineStr">
        <is>
          <t>P2</t>
        </is>
      </c>
    </row>
    <row r="52" ht="15" customHeight="1" s="28">
      <c r="A52" s="35" t="inlineStr">
        <is>
          <t>API-48</t>
        </is>
      </c>
      <c r="B52" s="35" t="inlineStr">
        <is>
          <t>GET</t>
        </is>
      </c>
      <c r="C52" s="35" t="inlineStr">
        <is>
          <t>/api/admin/usage</t>
        </is>
      </c>
      <c r="D52" s="36" t="inlineStr">
        <is>
          <t>使用量</t>
        </is>
      </c>
      <c r="E52" s="35" t="inlineStr">
        <is>
          <t>?user_id=&amp;month=</t>
        </is>
      </c>
      <c r="F52" s="36" t="inlineStr">
        <is>
          <t>集計</t>
        </is>
      </c>
      <c r="G52" s="35" t="inlineStr">
        <is>
          <t>admin</t>
        </is>
      </c>
      <c r="H52" s="36" t="n"/>
      <c r="I52" s="44" t="inlineStr">
        <is>
          <t>P3</t>
        </is>
      </c>
    </row>
    <row r="53" ht="15" customHeight="1" s="28">
      <c r="A53" s="35" t="inlineStr">
        <is>
          <t>API-49</t>
        </is>
      </c>
      <c r="B53" s="35" t="inlineStr">
        <is>
          <t>POST</t>
        </is>
      </c>
      <c r="C53" s="35" t="inlineStr">
        <is>
          <t>/api/admin/limits</t>
        </is>
      </c>
      <c r="D53" s="36" t="inlineStr">
        <is>
          <t>上限設定</t>
        </is>
      </c>
      <c r="E53" s="35" t="inlineStr">
        <is>
          <t>{user_id?, monthly_usd}</t>
        </is>
      </c>
      <c r="F53" s="35" t="inlineStr">
        <is>
          <t>{ok}</t>
        </is>
      </c>
      <c r="G53" s="35" t="inlineStr">
        <is>
          <t>admin</t>
        </is>
      </c>
      <c r="H53" s="36" t="n"/>
      <c r="I53" s="44" t="inlineStr">
        <is>
          <t>P3</t>
        </is>
      </c>
    </row>
    <row r="54" ht="15" customHeight="1" s="28">
      <c r="A54" s="35" t="inlineStr">
        <is>
          <t>API-50</t>
        </is>
      </c>
      <c r="B54" s="35" t="inlineStr">
        <is>
          <t>GET</t>
        </is>
      </c>
      <c r="C54" s="35" t="inlineStr">
        <is>
          <t>/api/notifications</t>
        </is>
      </c>
      <c r="D54" s="36" t="inlineStr">
        <is>
          <t>通知一覧</t>
        </is>
      </c>
      <c r="E54" s="35" t="inlineStr">
        <is>
          <t>?unread=</t>
        </is>
      </c>
      <c r="F54" s="35" t="inlineStr">
        <is>
          <t>[Notification]</t>
        </is>
      </c>
      <c r="G54" s="35" t="inlineStr">
        <is>
          <t>session</t>
        </is>
      </c>
      <c r="H54" s="36" t="n"/>
      <c r="I54" s="42" t="inlineStr">
        <is>
          <t>P1</t>
        </is>
      </c>
    </row>
    <row r="55" ht="15" customHeight="1" s="28">
      <c r="A55" s="35" t="inlineStr">
        <is>
          <t>API-51</t>
        </is>
      </c>
      <c r="B55" s="35" t="inlineStr">
        <is>
          <t>POST</t>
        </is>
      </c>
      <c r="C55" s="35" t="inlineStr">
        <is>
          <t>/api/notifications/[id]/read</t>
        </is>
      </c>
      <c r="D55" s="36" t="inlineStr">
        <is>
          <t>既読化</t>
        </is>
      </c>
      <c r="E55" s="35" t="inlineStr">
        <is>
          <t>-</t>
        </is>
      </c>
      <c r="F55" s="35" t="inlineStr">
        <is>
          <t>{ok}</t>
        </is>
      </c>
      <c r="G55" s="35" t="inlineStr">
        <is>
          <t>session</t>
        </is>
      </c>
      <c r="H55" s="36" t="n"/>
      <c r="I55" s="35" t="inlineStr">
        <is>
          <t>P1</t>
        </is>
      </c>
    </row>
    <row r="57">
      <c r="A57" s="41" t="inlineStr">
        <is>
          <t>■ 追加APIエンドポイント(v2)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</row>
    <row r="58">
      <c r="A58" s="41" t="inlineStr">
        <is>
          <t>ID</t>
        </is>
      </c>
      <c r="B58" s="41" t="inlineStr">
        <is>
          <t>メソッド</t>
        </is>
      </c>
      <c r="C58" s="41" t="inlineStr">
        <is>
          <t>パス</t>
        </is>
      </c>
      <c r="D58" s="41" t="inlineStr">
        <is>
          <t>概要</t>
        </is>
      </c>
      <c r="E58" s="41" t="inlineStr">
        <is>
          <t>リクエスト</t>
        </is>
      </c>
      <c r="F58" s="41" t="inlineStr">
        <is>
          <t>レスポンス</t>
        </is>
      </c>
      <c r="G58" s="41" t="inlineStr">
        <is>
          <t>認証</t>
        </is>
      </c>
      <c r="H58" s="41" t="inlineStr">
        <is>
          <t>エラー</t>
        </is>
      </c>
      <c r="I58" s="41" t="inlineStr">
        <is>
          <t>Phase</t>
        </is>
      </c>
    </row>
    <row r="59">
      <c r="A59" s="41" t="inlineStr">
        <is>
          <t>AP-50</t>
        </is>
      </c>
      <c r="B59" s="41" t="inlineStr">
        <is>
          <t>POST</t>
        </is>
      </c>
      <c r="C59" s="41" t="inlineStr">
        <is>
          <t>/api/ocr/business-card</t>
        </is>
      </c>
      <c r="D59" s="41" t="inlineStr">
        <is>
          <t>片手/暗所最適化OCR</t>
        </is>
      </c>
      <c r="E59" s="41" t="inlineStr">
        <is>
          <t>multipart(image, side=front|back, event_id?, voice_memo?)</t>
        </is>
      </c>
      <c r="F59" s="41" t="inlineStr">
        <is>
          <t>{contact_draft, confidence, classification(card|pamphlet|memo|qr_only)}</t>
        </is>
      </c>
      <c r="G59" s="41" t="inlineStr">
        <is>
          <t>Auth</t>
        </is>
      </c>
      <c r="H59" s="41" t="inlineStr">
        <is>
          <t>413(&gt;10MB)/422(low_conf)</t>
        </is>
      </c>
      <c r="I59" s="41" t="inlineStr">
        <is>
          <t>P1</t>
        </is>
      </c>
    </row>
    <row r="60">
      <c r="A60" s="41" t="inlineStr">
        <is>
          <t>AP-51</t>
        </is>
      </c>
      <c r="B60" s="41" t="inlineStr">
        <is>
          <t>POST</t>
        </is>
      </c>
      <c r="C60" s="41" t="inlineStr">
        <is>
          <t>/api/ocr/qr</t>
        </is>
      </c>
      <c r="D60" s="41" t="inlineStr">
        <is>
          <t>裏面QR(vCard)読取</t>
        </is>
      </c>
      <c r="E60" s="41" t="inlineStr">
        <is>
          <t>{image_id}</t>
        </is>
      </c>
      <c r="F60" s="41" t="inlineStr">
        <is>
          <t>{vcard_fields}</t>
        </is>
      </c>
      <c r="G60" s="41" t="inlineStr">
        <is>
          <t>Auth</t>
        </is>
      </c>
      <c r="H60" s="41" t="inlineStr">
        <is>
          <t>422</t>
        </is>
      </c>
      <c r="I60" s="41" t="inlineStr">
        <is>
          <t>P1</t>
        </is>
      </c>
    </row>
    <row r="61">
      <c r="A61" s="41" t="inlineStr">
        <is>
          <t>AP-52</t>
        </is>
      </c>
      <c r="B61" s="41" t="inlineStr">
        <is>
          <t>POST</t>
        </is>
      </c>
      <c r="C61" s="41" t="inlineStr">
        <is>
          <t>/api/contact-memos</t>
        </is>
      </c>
      <c r="D61" s="41" t="inlineStr">
        <is>
          <t>音声/手書きメモ添付</t>
        </is>
      </c>
      <c r="E61" s="41" t="inlineStr">
        <is>
          <t>{contact_id, kind=voice|text, payload}</t>
        </is>
      </c>
      <c r="F61" s="41" t="inlineStr">
        <is>
          <t>{memo_id}</t>
        </is>
      </c>
      <c r="G61" s="41" t="inlineStr">
        <is>
          <t>Auth</t>
        </is>
      </c>
      <c r="H61" s="41" t="inlineStr">
        <is>
          <t>-</t>
        </is>
      </c>
      <c r="I61" s="41" t="inlineStr">
        <is>
          <t>P1</t>
        </is>
      </c>
    </row>
    <row r="62">
      <c r="A62" s="41" t="inlineStr">
        <is>
          <t>AP-53</t>
        </is>
      </c>
      <c r="B62" s="41" t="inlineStr">
        <is>
          <t>POST</t>
        </is>
      </c>
      <c r="C62" s="41" t="inlineStr">
        <is>
          <t>/api/offline-queue</t>
        </is>
      </c>
      <c r="D62" s="41" t="inlineStr">
        <is>
          <t>オフラインキュー登録</t>
        </is>
      </c>
      <c r="E62" s="41" t="inlineStr">
        <is>
          <t>{client_id, payload, idempotency_key}</t>
        </is>
      </c>
      <c r="F62" s="41" t="inlineStr">
        <is>
          <t>{queued: true}</t>
        </is>
      </c>
      <c r="G62" s="41" t="inlineStr">
        <is>
          <t>Auth</t>
        </is>
      </c>
      <c r="H62" s="41" t="inlineStr">
        <is>
          <t>-</t>
        </is>
      </c>
      <c r="I62" s="41" t="inlineStr">
        <is>
          <t>P1</t>
        </is>
      </c>
    </row>
    <row r="63">
      <c r="A63" s="41" t="inlineStr">
        <is>
          <t>AP-54</t>
        </is>
      </c>
      <c r="B63" s="41" t="inlineStr">
        <is>
          <t>GET</t>
        </is>
      </c>
      <c r="C63" s="41" t="inlineStr">
        <is>
          <t>/api/offline-queue</t>
        </is>
      </c>
      <c r="D63" s="41" t="inlineStr">
        <is>
          <t>キュー一覧</t>
        </is>
      </c>
      <c r="E63" s="41" t="inlineStr">
        <is>
          <t>-</t>
        </is>
      </c>
      <c r="F63" s="41" t="inlineStr">
        <is>
          <t>{items}</t>
        </is>
      </c>
      <c r="G63" s="41" t="inlineStr">
        <is>
          <t>Auth</t>
        </is>
      </c>
      <c r="H63" s="41" t="inlineStr">
        <is>
          <t>-</t>
        </is>
      </c>
      <c r="I63" s="41" t="inlineStr">
        <is>
          <t>P1</t>
        </is>
      </c>
    </row>
    <row r="64">
      <c r="A64" s="41" t="inlineStr">
        <is>
          <t>AP-55</t>
        </is>
      </c>
      <c r="B64" s="41" t="inlineStr">
        <is>
          <t>GET</t>
        </is>
      </c>
      <c r="C64" s="41" t="inlineStr">
        <is>
          <t>/api/contacts/quick-search</t>
        </is>
      </c>
      <c r="D64" s="41" t="inlineStr">
        <is>
          <t>会場即時検索(オフライン優先)</t>
        </is>
      </c>
      <c r="E64" s="41" t="inlineStr">
        <is>
          <t>?q=, ?event_id=</t>
        </is>
      </c>
      <c r="F64" s="41" t="inlineStr">
        <is>
          <t>{matches[]}</t>
        </is>
      </c>
      <c r="G64" s="41" t="inlineStr">
        <is>
          <t>Auth</t>
        </is>
      </c>
      <c r="H64" s="41" t="inlineStr">
        <is>
          <t>-</t>
        </is>
      </c>
      <c r="I64" s="41" t="inlineStr">
        <is>
          <t>P1</t>
        </is>
      </c>
    </row>
    <row r="65">
      <c r="A65" s="41" t="inlineStr">
        <is>
          <t>AP-56</t>
        </is>
      </c>
      <c r="B65" s="41" t="inlineStr">
        <is>
          <t>POST</t>
        </is>
      </c>
      <c r="C65" s="41" t="inlineStr">
        <is>
          <t>/api/events</t>
        </is>
      </c>
      <c r="D65" s="41" t="inlineStr">
        <is>
          <t>イベント作成</t>
        </is>
      </c>
      <c r="E65" s="41" t="inlineStr">
        <is>
          <t>{name, started_at, ended_at}</t>
        </is>
      </c>
      <c r="F65" s="41" t="inlineStr">
        <is>
          <t>{event_id}</t>
        </is>
      </c>
      <c r="G65" s="41" t="inlineStr">
        <is>
          <t>Auth</t>
        </is>
      </c>
      <c r="H65" s="41" t="inlineStr">
        <is>
          <t>-</t>
        </is>
      </c>
      <c r="I65" s="41" t="inlineStr">
        <is>
          <t>P2</t>
        </is>
      </c>
    </row>
    <row r="66">
      <c r="A66" s="41" t="inlineStr">
        <is>
          <t>AP-57</t>
        </is>
      </c>
      <c r="B66" s="41" t="inlineStr">
        <is>
          <t>POST</t>
        </is>
      </c>
      <c r="C66" s="41" t="inlineStr">
        <is>
          <t>/api/internal-invites</t>
        </is>
      </c>
      <c r="D66" s="41" t="inlineStr">
        <is>
          <t>社内同席依頼</t>
        </is>
      </c>
      <c r="E66" s="41" t="inlineStr">
        <is>
          <t>{meeting_id, invitee_id, deadline}</t>
        </is>
      </c>
      <c r="F66" s="41" t="inlineStr">
        <is>
          <t>{invite_id}</t>
        </is>
      </c>
      <c r="G66" s="41" t="inlineStr">
        <is>
          <t>Auth</t>
        </is>
      </c>
      <c r="H66" s="41" t="inlineStr">
        <is>
          <t>-</t>
        </is>
      </c>
      <c r="I66" s="41" t="inlineStr">
        <is>
          <t>P2</t>
        </is>
      </c>
    </row>
    <row r="67">
      <c r="A67" s="41" t="inlineStr">
        <is>
          <t>AP-58</t>
        </is>
      </c>
      <c r="B67" s="41" t="inlineStr">
        <is>
          <t>POST</t>
        </is>
      </c>
      <c r="C67" s="41" t="inlineStr">
        <is>
          <t>/api/internal-invites/[id]/accept</t>
        </is>
      </c>
      <c r="D67" s="41" t="inlineStr">
        <is>
          <t>受諾</t>
        </is>
      </c>
      <c r="E67" s="41" t="inlineStr">
        <is>
          <t>-</t>
        </is>
      </c>
      <c r="F67" s="41" t="inlineStr">
        <is>
          <t>{ok}</t>
        </is>
      </c>
      <c r="G67" s="41" t="inlineStr">
        <is>
          <t>Auth</t>
        </is>
      </c>
      <c r="H67" s="41" t="inlineStr">
        <is>
          <t>403</t>
        </is>
      </c>
      <c r="I67" s="41" t="inlineStr">
        <is>
          <t>P2</t>
        </is>
      </c>
    </row>
    <row r="68">
      <c r="A68" s="41" t="inlineStr">
        <is>
          <t>AP-59</t>
        </is>
      </c>
      <c r="B68" s="41" t="inlineStr">
        <is>
          <t>POST</t>
        </is>
      </c>
      <c r="C68" s="41" t="inlineStr">
        <is>
          <t>/api/internal-invites/[id]/decline</t>
        </is>
      </c>
      <c r="D68" s="41" t="inlineStr">
        <is>
          <t>辞退</t>
        </is>
      </c>
      <c r="E68" s="41" t="inlineStr">
        <is>
          <t>{reason?}</t>
        </is>
      </c>
      <c r="F68" s="41" t="inlineStr">
        <is>
          <t>{ok}</t>
        </is>
      </c>
      <c r="G68" s="41" t="inlineStr">
        <is>
          <t>Auth</t>
        </is>
      </c>
      <c r="H68" s="41" t="inlineStr">
        <is>
          <t>403</t>
        </is>
      </c>
      <c r="I68" s="41" t="inlineStr">
        <is>
          <t>P2</t>
        </is>
      </c>
    </row>
    <row r="69">
      <c r="A69" s="41" t="inlineStr">
        <is>
          <t>AP-60</t>
        </is>
      </c>
      <c r="B69" s="41" t="inlineStr">
        <is>
          <t>GET</t>
        </is>
      </c>
      <c r="C69" s="41" t="inlineStr">
        <is>
          <t>/api/availability</t>
        </is>
      </c>
      <c r="D69" s="41" t="inlineStr">
        <is>
          <t>空き枠抽出(改修)</t>
        </is>
      </c>
      <c r="E69" s="41" t="inlineStr">
        <is>
          <t>?attendees=&amp;duration=&amp;tz=&amp;exclude_holds=&amp;room=</t>
        </is>
      </c>
      <c r="F69" s="41" t="inlineStr">
        <is>
          <t>{slots[]}</t>
        </is>
      </c>
      <c r="G69" s="41" t="inlineStr">
        <is>
          <t>Auth</t>
        </is>
      </c>
      <c r="H69" s="41" t="inlineStr">
        <is>
          <t>422</t>
        </is>
      </c>
      <c r="I69" s="41" t="inlineStr">
        <is>
          <t>P2</t>
        </is>
      </c>
    </row>
    <row r="70">
      <c r="A70" s="41" t="inlineStr">
        <is>
          <t>AP-61</t>
        </is>
      </c>
      <c r="B70" s="41" t="inlineStr">
        <is>
          <t>PUT</t>
        </is>
      </c>
      <c r="C70" s="41" t="inlineStr">
        <is>
          <t>/api/availability-settings</t>
        </is>
      </c>
      <c r="D70" s="41" t="inlineStr">
        <is>
          <t>業務時間更新</t>
        </is>
      </c>
      <c r="E70" s="41" t="inlineStr">
        <is>
          <t>{work_hours, lunch, days_off}</t>
        </is>
      </c>
      <c r="F70" s="41" t="inlineStr">
        <is>
          <t>{ok}</t>
        </is>
      </c>
      <c r="G70" s="41" t="inlineStr">
        <is>
          <t>Auth</t>
        </is>
      </c>
      <c r="H70" s="41" t="inlineStr">
        <is>
          <t>-</t>
        </is>
      </c>
      <c r="I70" s="41" t="inlineStr">
        <is>
          <t>P2</t>
        </is>
      </c>
    </row>
    <row r="71">
      <c r="A71" s="41" t="inlineStr">
        <is>
          <t>AP-62</t>
        </is>
      </c>
      <c r="B71" s="41" t="inlineStr">
        <is>
          <t>POST</t>
        </is>
      </c>
      <c r="C71" s="41" t="inlineStr">
        <is>
          <t>/api/calendar-holds</t>
        </is>
      </c>
      <c r="D71" s="41" t="inlineStr">
        <is>
          <t>仮押さえ</t>
        </is>
      </c>
      <c r="E71" s="41" t="inlineStr">
        <is>
          <t>{slots[]}</t>
        </is>
      </c>
      <c r="F71" s="41" t="inlineStr">
        <is>
          <t>{hold_ids}</t>
        </is>
      </c>
      <c r="G71" s="41" t="inlineStr">
        <is>
          <t>Auth</t>
        </is>
      </c>
      <c r="H71" s="41" t="inlineStr">
        <is>
          <t>-</t>
        </is>
      </c>
      <c r="I71" s="41" t="inlineStr">
        <is>
          <t>P2</t>
        </is>
      </c>
    </row>
    <row r="72">
      <c r="A72" s="41" t="inlineStr">
        <is>
          <t>AP-63</t>
        </is>
      </c>
      <c r="B72" s="41" t="inlineStr">
        <is>
          <t>DELETE</t>
        </is>
      </c>
      <c r="C72" s="41" t="inlineStr">
        <is>
          <t>/api/calendar-holds/[id]</t>
        </is>
      </c>
      <c r="D72" s="41" t="inlineStr">
        <is>
          <t>解放</t>
        </is>
      </c>
      <c r="E72" s="41" t="inlineStr">
        <is>
          <t>-</t>
        </is>
      </c>
      <c r="F72" s="41" t="inlineStr">
        <is>
          <t>{ok}</t>
        </is>
      </c>
      <c r="G72" s="41" t="inlineStr">
        <is>
          <t>Auth</t>
        </is>
      </c>
      <c r="H72" s="41" t="inlineStr">
        <is>
          <t>-</t>
        </is>
      </c>
      <c r="I72" s="41" t="inlineStr">
        <is>
          <t>P2</t>
        </is>
      </c>
    </row>
    <row r="73">
      <c r="A73" s="41" t="inlineStr">
        <is>
          <t>AP-64</t>
        </is>
      </c>
      <c r="B73" s="41" t="inlineStr">
        <is>
          <t>POST</t>
        </is>
      </c>
      <c r="C73" s="41" t="inlineStr">
        <is>
          <t>/api/scheduling/parse</t>
        </is>
      </c>
      <c r="D73" s="41" t="inlineStr">
        <is>
          <t>返信パース(改修)</t>
        </is>
      </c>
      <c r="E73" s="41" t="inlineStr">
        <is>
          <t>{message_id}</t>
        </is>
      </c>
      <c r="F73" s="41" t="inlineStr">
        <is>
          <t>{intent, slots, cc_added, attachments_routed}</t>
        </is>
      </c>
      <c r="G73" s="41" t="inlineStr">
        <is>
          <t>Auth</t>
        </is>
      </c>
      <c r="H73" s="41" t="inlineStr">
        <is>
          <t>-</t>
        </is>
      </c>
      <c r="I73" s="41" t="inlineStr">
        <is>
          <t>P2</t>
        </is>
      </c>
    </row>
    <row r="74">
      <c r="A74" s="41" t="inlineStr">
        <is>
          <t>AP-65</t>
        </is>
      </c>
      <c r="B74" s="41" t="inlineStr">
        <is>
          <t>POST</t>
        </is>
      </c>
      <c r="C74" s="41" t="inlineStr">
        <is>
          <t>/api/scheduling/redraft</t>
        </is>
      </c>
      <c r="D74" s="41" t="inlineStr">
        <is>
          <t>全NG時の再ドラフト</t>
        </is>
      </c>
      <c r="E74" s="41" t="inlineStr">
        <is>
          <t>{thread_id}</t>
        </is>
      </c>
      <c r="F74" s="41" t="inlineStr">
        <is>
          <t>{draft_id}</t>
        </is>
      </c>
      <c r="G74" s="41" t="inlineStr">
        <is>
          <t>Auth</t>
        </is>
      </c>
      <c r="H74" s="41" t="inlineStr">
        <is>
          <t>-</t>
        </is>
      </c>
      <c r="I74" s="41" t="inlineStr">
        <is>
          <t>P2</t>
        </is>
      </c>
    </row>
    <row r="75">
      <c r="A75" s="41" t="inlineStr">
        <is>
          <t>AP-66</t>
        </is>
      </c>
      <c r="B75" s="41" t="inlineStr">
        <is>
          <t>POST</t>
        </is>
      </c>
      <c r="C75" s="41" t="inlineStr">
        <is>
          <t>/api/scheduling/[id]/reschedule</t>
        </is>
      </c>
      <c r="D75" s="41" t="inlineStr">
        <is>
          <t>リスケ起動</t>
        </is>
      </c>
      <c r="E75" s="41" t="inlineStr">
        <is>
          <t>{reason}</t>
        </is>
      </c>
      <c r="F75" s="41" t="inlineStr">
        <is>
          <t>{draft_id}</t>
        </is>
      </c>
      <c r="G75" s="41" t="inlineStr">
        <is>
          <t>Auth</t>
        </is>
      </c>
      <c r="H75" s="41" t="inlineStr">
        <is>
          <t>-</t>
        </is>
      </c>
      <c r="I75" s="41" t="inlineStr">
        <is>
          <t>P2</t>
        </is>
      </c>
    </row>
    <row r="76">
      <c r="A76" s="41" t="inlineStr">
        <is>
          <t>AP-67</t>
        </is>
      </c>
      <c r="B76" s="41" t="inlineStr">
        <is>
          <t>GET</t>
        </is>
      </c>
      <c r="C76" s="41" t="inlineStr">
        <is>
          <t>/api/meetings/[id]/brief</t>
        </is>
      </c>
      <c r="D76" s="41" t="inlineStr">
        <is>
          <t>商談前ブリーフィング</t>
        </is>
      </c>
      <c r="E76" s="41" t="inlineStr">
        <is>
          <t>-</t>
        </is>
      </c>
      <c r="F76" s="41" t="inlineStr">
        <is>
          <t>{brief}</t>
        </is>
      </c>
      <c r="G76" s="41" t="inlineStr">
        <is>
          <t>Auth</t>
        </is>
      </c>
      <c r="H76" s="41" t="inlineStr">
        <is>
          <t>-</t>
        </is>
      </c>
      <c r="I76" s="41" t="inlineStr">
        <is>
          <t>P2</t>
        </is>
      </c>
    </row>
    <row r="77">
      <c r="A77" s="41" t="inlineStr">
        <is>
          <t>AP-68</t>
        </is>
      </c>
      <c r="B77" s="41" t="inlineStr">
        <is>
          <t>POST</t>
        </is>
      </c>
      <c r="C77" s="41" t="inlineStr">
        <is>
          <t>/api/recordings/[id]/clip</t>
        </is>
      </c>
      <c r="D77" s="41" t="inlineStr">
        <is>
          <t>クリップ作成</t>
        </is>
      </c>
      <c r="E77" s="41" t="inlineStr">
        <is>
          <t>{start_sec, end_sec, redact_pii?}</t>
        </is>
      </c>
      <c r="F77" s="41" t="inlineStr">
        <is>
          <t>{clip_id, share_token}</t>
        </is>
      </c>
      <c r="G77" s="41" t="inlineStr">
        <is>
          <t>Auth</t>
        </is>
      </c>
      <c r="H77" s="41" t="inlineStr">
        <is>
          <t>422</t>
        </is>
      </c>
      <c r="I77" s="41" t="inlineStr">
        <is>
          <t>P2</t>
        </is>
      </c>
    </row>
    <row r="78">
      <c r="A78" s="41" t="inlineStr">
        <is>
          <t>AP-69</t>
        </is>
      </c>
      <c r="B78" s="41" t="inlineStr">
        <is>
          <t>POST</t>
        </is>
      </c>
      <c r="C78" s="41" t="inlineStr">
        <is>
          <t>/api/recordings/[id]/segments/[seg]/sensitivity</t>
        </is>
      </c>
      <c r="D78" s="41" t="inlineStr">
        <is>
          <t>sensitive化</t>
        </is>
      </c>
      <c r="E78" s="41" t="inlineStr">
        <is>
          <t>{level: public|internal|sensitive}</t>
        </is>
      </c>
      <c r="F78" s="41" t="inlineStr">
        <is>
          <t>{ok}</t>
        </is>
      </c>
      <c r="G78" s="41" t="inlineStr">
        <is>
          <t>Auth</t>
        </is>
      </c>
      <c r="H78" s="41" t="inlineStr">
        <is>
          <t>-</t>
        </is>
      </c>
      <c r="I78" s="41" t="inlineStr">
        <is>
          <t>P2</t>
        </is>
      </c>
    </row>
    <row r="79">
      <c r="A79" s="41" t="inlineStr">
        <is>
          <t>AP-70</t>
        </is>
      </c>
      <c r="B79" s="41" t="inlineStr">
        <is>
          <t>POST</t>
        </is>
      </c>
      <c r="C79" s="41" t="inlineStr">
        <is>
          <t>/api/recordings/[id]/reprocess</t>
        </is>
      </c>
      <c r="D79" s="41" t="inlineStr">
        <is>
          <t>抽出やり直し</t>
        </is>
      </c>
      <c r="E79" s="41" t="inlineStr">
        <is>
          <t>{model?}</t>
        </is>
      </c>
      <c r="F79" s="41" t="inlineStr">
        <is>
          <t>{job_id}</t>
        </is>
      </c>
      <c r="G79" s="41" t="inlineStr">
        <is>
          <t>Auth</t>
        </is>
      </c>
      <c r="H79" s="41" t="inlineStr">
        <is>
          <t>-</t>
        </is>
      </c>
      <c r="I79" s="41" t="inlineStr">
        <is>
          <t>P2</t>
        </is>
      </c>
    </row>
    <row r="80">
      <c r="A80" s="41" t="inlineStr">
        <is>
          <t>AP-71</t>
        </is>
      </c>
      <c r="B80" s="41" t="inlineStr">
        <is>
          <t>POST</t>
        </is>
      </c>
      <c r="C80" s="41" t="inlineStr">
        <is>
          <t>/api/meetings/[id]/external-summary</t>
        </is>
      </c>
      <c r="D80" s="41" t="inlineStr">
        <is>
          <t>顧客向け要約生成</t>
        </is>
      </c>
      <c r="E80" s="41" t="inlineStr">
        <is>
          <t>{exclude_internal_notes?: true}</t>
        </is>
      </c>
      <c r="F80" s="41" t="inlineStr">
        <is>
          <t>{summary, pdf_url}</t>
        </is>
      </c>
      <c r="G80" s="41" t="inlineStr">
        <is>
          <t>Auth</t>
        </is>
      </c>
      <c r="H80" s="41" t="inlineStr">
        <is>
          <t>-</t>
        </is>
      </c>
      <c r="I80" s="41" t="inlineStr">
        <is>
          <t>P2</t>
        </is>
      </c>
    </row>
    <row r="81">
      <c r="A81" s="41" t="inlineStr">
        <is>
          <t>AP-72</t>
        </is>
      </c>
      <c r="B81" s="41" t="inlineStr">
        <is>
          <t>GET</t>
        </is>
      </c>
      <c r="C81" s="41" t="inlineStr">
        <is>
          <t>/api/support/quick-search</t>
        </is>
      </c>
      <c r="D81" s="41" t="inlineStr">
        <is>
          <t>クレーム30秒検索</t>
        </is>
      </c>
      <c r="E81" s="41" t="inlineStr">
        <is>
          <t>?customer_id=&amp;q=</t>
        </is>
      </c>
      <c r="F81" s="41" t="inlineStr">
        <is>
          <t>{utterances_top3, context_window}</t>
        </is>
      </c>
      <c r="G81" s="41" t="inlineStr">
        <is>
          <t>Auth</t>
        </is>
      </c>
      <c r="H81" s="41" t="inlineStr">
        <is>
          <t>-</t>
        </is>
      </c>
      <c r="I81" s="41" t="inlineStr">
        <is>
          <t>P2</t>
        </is>
      </c>
    </row>
    <row r="82">
      <c r="A82" s="41" t="inlineStr">
        <is>
          <t>AP-73</t>
        </is>
      </c>
      <c r="B82" s="41" t="inlineStr">
        <is>
          <t>POST</t>
        </is>
      </c>
      <c r="C82" s="41" t="inlineStr">
        <is>
          <t>/api/complaints</t>
        </is>
      </c>
      <c r="D82" s="41" t="inlineStr">
        <is>
          <t>クレーム登録/紐付け</t>
        </is>
      </c>
      <c r="E82" s="41" t="inlineStr">
        <is>
          <t>{customer_id, recording_segment_id, summary}</t>
        </is>
      </c>
      <c r="F82" s="41" t="inlineStr">
        <is>
          <t>{complaint_id}</t>
        </is>
      </c>
      <c r="G82" s="41" t="inlineStr">
        <is>
          <t>Auth</t>
        </is>
      </c>
      <c r="H82" s="41" t="inlineStr">
        <is>
          <t>-</t>
        </is>
      </c>
      <c r="I82" s="41" t="inlineStr">
        <is>
          <t>P3</t>
        </is>
      </c>
    </row>
    <row r="83">
      <c r="A83" s="41" t="inlineStr">
        <is>
          <t>AP-74</t>
        </is>
      </c>
      <c r="B83" s="41" t="inlineStr">
        <is>
          <t>POST</t>
        </is>
      </c>
      <c r="C83" s="41" t="inlineStr">
        <is>
          <t>/api/roleplay/scenarios/from-recording</t>
        </is>
      </c>
      <c r="D83" s="41" t="inlineStr">
        <is>
          <t>録画→シナリオ</t>
        </is>
      </c>
      <c r="E83" s="41" t="inlineStr">
        <is>
          <t>{recording_id}</t>
        </is>
      </c>
      <c r="F83" s="41" t="inlineStr">
        <is>
          <t>{scenario_id}</t>
        </is>
      </c>
      <c r="G83" s="41" t="inlineStr">
        <is>
          <t>Auth</t>
        </is>
      </c>
      <c r="H83" s="41" t="inlineStr">
        <is>
          <t>-</t>
        </is>
      </c>
      <c r="I83" s="41" t="inlineStr">
        <is>
          <t>P3</t>
        </is>
      </c>
    </row>
    <row r="84">
      <c r="A84" s="41" t="inlineStr">
        <is>
          <t>AP-75</t>
        </is>
      </c>
      <c r="B84" s="41" t="inlineStr">
        <is>
          <t>WS</t>
        </is>
      </c>
      <c r="C84" s="41" t="inlineStr">
        <is>
          <t>/api/roleplay/observe</t>
        </is>
      </c>
      <c r="D84" s="41" t="inlineStr">
        <is>
          <t>観戦WebSocket</t>
        </is>
      </c>
      <c r="E84" s="41" t="inlineStr">
        <is>
          <t>-</t>
        </is>
      </c>
      <c r="F84" s="41" t="inlineStr">
        <is>
          <t>stream</t>
        </is>
      </c>
      <c r="G84" s="41" t="inlineStr">
        <is>
          <t>Auth(manager)</t>
        </is>
      </c>
      <c r="H84" s="41" t="inlineStr">
        <is>
          <t>-</t>
        </is>
      </c>
      <c r="I84" s="41" t="inlineStr">
        <is>
          <t>P3</t>
        </is>
      </c>
    </row>
    <row r="85">
      <c r="A85" s="41" t="inlineStr">
        <is>
          <t>AP-76</t>
        </is>
      </c>
      <c r="B85" s="41" t="inlineStr">
        <is>
          <t>GET</t>
        </is>
      </c>
      <c r="C85" s="41" t="inlineStr">
        <is>
          <t>/api/dashboard/diagnostics</t>
        </is>
      </c>
      <c r="D85" s="41" t="inlineStr">
        <is>
          <t>受注率診断</t>
        </is>
      </c>
      <c r="E85" s="41" t="inlineStr">
        <is>
          <t>-</t>
        </is>
      </c>
      <c r="F85" s="41" t="inlineStr">
        <is>
          <t>{factors, narrative}</t>
        </is>
      </c>
      <c r="G85" s="41" t="inlineStr">
        <is>
          <t>Auth(manager)</t>
        </is>
      </c>
      <c r="H85" s="41" t="inlineStr">
        <is>
          <t>-</t>
        </is>
      </c>
      <c r="I85" s="41" t="inlineStr">
        <is>
          <t>P3</t>
        </is>
      </c>
    </row>
    <row r="86">
      <c r="A86" s="41" t="inlineStr">
        <is>
          <t>AP-77</t>
        </is>
      </c>
      <c r="B86" s="41" t="inlineStr">
        <is>
          <t>GET</t>
        </is>
      </c>
      <c r="C86" s="41" t="inlineStr">
        <is>
          <t>/api/dashboard/losses</t>
        </is>
      </c>
      <c r="D86" s="41" t="inlineStr">
        <is>
          <t>失注分析</t>
        </is>
      </c>
      <c r="E86" s="41" t="inlineStr">
        <is>
          <t>-</t>
        </is>
      </c>
      <c r="F86" s="41" t="inlineStr">
        <is>
          <t>{matrix}</t>
        </is>
      </c>
      <c r="G86" s="41" t="inlineStr">
        <is>
          <t>Auth(manager)</t>
        </is>
      </c>
      <c r="H86" s="41" t="inlineStr">
        <is>
          <t>-</t>
        </is>
      </c>
      <c r="I86" s="41" t="inlineStr">
        <is>
          <t>P3</t>
        </is>
      </c>
    </row>
    <row r="87">
      <c r="A87" s="41" t="inlineStr">
        <is>
          <t>AP-78</t>
        </is>
      </c>
      <c r="B87" s="41" t="inlineStr">
        <is>
          <t>POST</t>
        </is>
      </c>
      <c r="C87" s="41" t="inlineStr">
        <is>
          <t>/api/handoffs/[id]/alignment-report</t>
        </is>
      </c>
      <c r="D87" s="41" t="inlineStr">
        <is>
          <t>認識ズレ報告</t>
        </is>
      </c>
      <c r="E87" s="41" t="inlineStr">
        <is>
          <t>{recording_segment_id, note}</t>
        </is>
      </c>
      <c r="F87" s="41" t="inlineStr">
        <is>
          <t>{report_id}</t>
        </is>
      </c>
      <c r="G87" s="41" t="inlineStr">
        <is>
          <t>Auth</t>
        </is>
      </c>
      <c r="H87" s="41" t="inlineStr">
        <is>
          <t>-</t>
        </is>
      </c>
      <c r="I87" s="41" t="inlineStr">
        <is>
          <t>P2</t>
        </is>
      </c>
    </row>
    <row r="88">
      <c r="A88" s="41" t="inlineStr">
        <is>
          <t>AP-79</t>
        </is>
      </c>
      <c r="B88" s="41" t="inlineStr">
        <is>
          <t>GET</t>
        </is>
      </c>
      <c r="C88" s="41" t="inlineStr">
        <is>
          <t>/api/handoffs/[id]/preview</t>
        </is>
      </c>
      <c r="D88" s="41" t="inlineStr">
        <is>
          <t>引き継ぎ予習</t>
        </is>
      </c>
      <c r="E88" s="41" t="inlineStr">
        <is>
          <t>-</t>
        </is>
      </c>
      <c r="F88" s="41" t="inlineStr">
        <is>
          <t>{handoff, highlight_clips}</t>
        </is>
      </c>
      <c r="G88" s="41" t="inlineStr">
        <is>
          <t>Auth</t>
        </is>
      </c>
      <c r="H88" s="41" t="inlineStr">
        <is>
          <t>-</t>
        </is>
      </c>
      <c r="I88" s="41" t="inlineStr">
        <is>
          <t>P2</t>
        </is>
      </c>
    </row>
    <row r="89">
      <c r="A89" s="41" t="inlineStr">
        <is>
          <t>AP-80</t>
        </is>
      </c>
      <c r="B89" s="41" t="inlineStr">
        <is>
          <t>POST</t>
        </is>
      </c>
      <c r="C89" s="41" t="inlineStr">
        <is>
          <t>/api/email-drafts/[id]/send</t>
        </is>
      </c>
      <c r="D89" s="41" t="inlineStr">
        <is>
          <t>送信(undo付き)</t>
        </is>
      </c>
      <c r="E89" s="41" t="inlineStr">
        <is>
          <t>{undo_window_seconds=30}</t>
        </is>
      </c>
      <c r="F89" s="41" t="inlineStr">
        <is>
          <t>{message_id, undo_token, expires_at}</t>
        </is>
      </c>
      <c r="G89" s="41" t="inlineStr">
        <is>
          <t>Auth</t>
        </is>
      </c>
      <c r="H89" s="41" t="inlineStr">
        <is>
          <t>-</t>
        </is>
      </c>
      <c r="I89" s="41" t="inlineStr">
        <is>
          <t>P2</t>
        </is>
      </c>
    </row>
    <row r="90">
      <c r="A90" s="41" t="inlineStr">
        <is>
          <t>AP-81</t>
        </is>
      </c>
      <c r="B90" s="41" t="inlineStr">
        <is>
          <t>POST</t>
        </is>
      </c>
      <c r="C90" s="41" t="inlineStr">
        <is>
          <t>/api/email-drafts/[id]/undo</t>
        </is>
      </c>
      <c r="D90" s="41" t="inlineStr">
        <is>
          <t>送信取消</t>
        </is>
      </c>
      <c r="E90" s="41" t="inlineStr">
        <is>
          <t>{undo_token}</t>
        </is>
      </c>
      <c r="F90" s="41" t="inlineStr">
        <is>
          <t>{ok}</t>
        </is>
      </c>
      <c r="G90" s="41" t="inlineStr">
        <is>
          <t>Auth</t>
        </is>
      </c>
      <c r="H90" s="41" t="inlineStr">
        <is>
          <t>410(expired)</t>
        </is>
      </c>
      <c r="I90" s="41" t="inlineStr">
        <is>
          <t>P2</t>
        </is>
      </c>
    </row>
    <row r="91">
      <c r="A91" s="41" t="inlineStr">
        <is>
          <t>AP-82</t>
        </is>
      </c>
      <c r="B91" s="41" t="inlineStr">
        <is>
          <t>POST</t>
        </is>
      </c>
      <c r="C91" s="41" t="inlineStr">
        <is>
          <t>/api/admin/trash/[id]/restore</t>
        </is>
      </c>
      <c r="D91" s="41" t="inlineStr">
        <is>
          <t>Soft delete復旧</t>
        </is>
      </c>
      <c r="E91" s="41" t="inlineStr">
        <is>
          <t>-</t>
        </is>
      </c>
      <c r="F91" s="41" t="inlineStr">
        <is>
          <t>{ok}</t>
        </is>
      </c>
      <c r="G91" s="41" t="inlineStr">
        <is>
          <t>Auth(admin)</t>
        </is>
      </c>
      <c r="H91" s="41" t="inlineStr">
        <is>
          <t>-</t>
        </is>
      </c>
      <c r="I91" s="41" t="inlineStr">
        <is>
          <t>P2</t>
        </is>
      </c>
    </row>
    <row r="92">
      <c r="A92" s="41" t="inlineStr">
        <is>
          <t>AP-83</t>
        </is>
      </c>
      <c r="B92" s="41" t="inlineStr">
        <is>
          <t>POST</t>
        </is>
      </c>
      <c r="C92" s="41" t="inlineStr">
        <is>
          <t>/api/admin/rollback</t>
        </is>
      </c>
      <c r="D92" s="41" t="inlineStr">
        <is>
          <t>PITRロールバック</t>
        </is>
      </c>
      <c r="E92" s="41" t="inlineStr">
        <is>
          <t>{point_in_time, scope}</t>
        </is>
      </c>
      <c r="F92" s="41" t="inlineStr">
        <is>
          <t>{job_id}</t>
        </is>
      </c>
      <c r="G92" s="41" t="inlineStr">
        <is>
          <t>Auth(admin)+MFA</t>
        </is>
      </c>
      <c r="H92" s="41" t="inlineStr">
        <is>
          <t>-</t>
        </is>
      </c>
      <c r="I92" s="41" t="inlineStr">
        <is>
          <t>P3</t>
        </is>
      </c>
    </row>
    <row r="93">
      <c r="A93" s="41" t="inlineStr">
        <is>
          <t>AP-84</t>
        </is>
      </c>
      <c r="B93" s="41" t="inlineStr">
        <is>
          <t>POST</t>
        </is>
      </c>
      <c r="C93" s="41" t="inlineStr">
        <is>
          <t>/api/permission-requests</t>
        </is>
      </c>
      <c r="D93" s="41" t="inlineStr">
        <is>
          <t>権限申請</t>
        </is>
      </c>
      <c r="E93" s="41" t="inlineStr">
        <is>
          <t>{resource, action}</t>
        </is>
      </c>
      <c r="F93" s="41" t="inlineStr">
        <is>
          <t>{request_id}</t>
        </is>
      </c>
      <c r="G93" s="41" t="inlineStr">
        <is>
          <t>Auth</t>
        </is>
      </c>
      <c r="H93" s="41" t="inlineStr">
        <is>
          <t>-</t>
        </is>
      </c>
      <c r="I93" s="41" t="inlineStr">
        <is>
          <t>P2</t>
        </is>
      </c>
    </row>
    <row r="94">
      <c r="A94" s="41" t="inlineStr">
        <is>
          <t>AP-85</t>
        </is>
      </c>
      <c r="B94" s="41" t="inlineStr">
        <is>
          <t>POST</t>
        </is>
      </c>
      <c r="C94" s="41" t="inlineStr">
        <is>
          <t>/api/conflicts/[id]/resolve</t>
        </is>
      </c>
      <c r="D94" s="41" t="inlineStr">
        <is>
          <t>編集衝突解決</t>
        </is>
      </c>
      <c r="E94" s="41" t="inlineStr">
        <is>
          <t>{merge_strategy, version}</t>
        </is>
      </c>
      <c r="F94" s="41" t="inlineStr">
        <is>
          <t>{ok}</t>
        </is>
      </c>
      <c r="G94" s="41" t="inlineStr">
        <is>
          <t>Auth</t>
        </is>
      </c>
      <c r="H94" s="41" t="inlineStr">
        <is>
          <t>409</t>
        </is>
      </c>
      <c r="I94" s="41" t="inlineStr">
        <is>
          <t>P2</t>
        </is>
      </c>
    </row>
    <row r="95">
      <c r="A95" s="41" t="inlineStr">
        <is>
          <t>AP-86</t>
        </is>
      </c>
      <c r="B95" s="41" t="inlineStr">
        <is>
          <t>POST</t>
        </is>
      </c>
      <c r="C95" s="41" t="inlineStr">
        <is>
          <t>/api/meetings/[id]/consent-capture</t>
        </is>
      </c>
      <c r="D95" s="41" t="inlineStr">
        <is>
          <t>録画同意ログ</t>
        </is>
      </c>
      <c r="E95" s="41" t="inlineStr">
        <is>
          <t>{consent: true|false, captured_at}</t>
        </is>
      </c>
      <c r="F95" s="41" t="inlineStr">
        <is>
          <t>{ok}</t>
        </is>
      </c>
      <c r="G95" s="41" t="inlineStr">
        <is>
          <t>Auth</t>
        </is>
      </c>
      <c r="H95" s="41" t="inlineStr">
        <is>
          <t>-</t>
        </is>
      </c>
      <c r="I95" s="41" t="inlineStr">
        <is>
          <t>P2</t>
        </is>
      </c>
    </row>
    <row r="96">
      <c r="A96" s="41" t="inlineStr">
        <is>
          <t>AP-87</t>
        </is>
      </c>
      <c r="B96" s="41" t="inlineStr">
        <is>
          <t>POST</t>
        </is>
      </c>
      <c r="C96" s="41" t="inlineStr">
        <is>
          <t>/api/share/[token]/deletion-request</t>
        </is>
      </c>
      <c r="D96" s="41" t="inlineStr">
        <is>
          <t>削除依頼受付</t>
        </is>
      </c>
      <c r="E96" s="41" t="inlineStr">
        <is>
          <t>{kind, target_id, requester_email}</t>
        </is>
      </c>
      <c r="F96" s="41" t="inlineStr">
        <is>
          <t>{ticket_id}</t>
        </is>
      </c>
      <c r="G96" s="41" t="inlineStr">
        <is>
          <t>-</t>
        </is>
      </c>
      <c r="H96" s="41" t="inlineStr">
        <is>
          <t>-</t>
        </is>
      </c>
      <c r="I96" s="41" t="inlineStr">
        <is>
          <t>P2</t>
        </is>
      </c>
    </row>
    <row r="97">
      <c r="A97" s="41" t="inlineStr">
        <is>
          <t>AP-88</t>
        </is>
      </c>
      <c r="B97" s="41" t="inlineStr">
        <is>
          <t>GET</t>
        </is>
      </c>
      <c r="C97" s="41" t="inlineStr">
        <is>
          <t>/api/admin/legal/export</t>
        </is>
      </c>
      <c r="D97" s="41" t="inlineStr">
        <is>
          <t>法的開示エクスポート</t>
        </is>
      </c>
      <c r="E97" s="41" t="inlineStr">
        <is>
          <t>?period=&amp;customer=</t>
        </is>
      </c>
      <c r="F97" s="41" t="inlineStr">
        <is>
          <t>{export_url}</t>
        </is>
      </c>
      <c r="G97" s="41" t="inlineStr">
        <is>
          <t>Auth(admin)+MFA</t>
        </is>
      </c>
      <c r="H97" s="41" t="inlineStr">
        <is>
          <t>-</t>
        </is>
      </c>
      <c r="I97" s="41" t="inlineStr">
        <is>
          <t>P3</t>
        </is>
      </c>
    </row>
    <row r="98">
      <c r="A98" s="41" t="inlineStr">
        <is>
          <t>AP-89</t>
        </is>
      </c>
      <c r="B98" s="41" t="inlineStr">
        <is>
          <t>POST</t>
        </is>
      </c>
      <c r="C98" s="41" t="inlineStr">
        <is>
          <t>/api/admin/policy</t>
        </is>
      </c>
      <c r="D98" s="41" t="inlineStr">
        <is>
          <t>退職者発言ポリシー設定</t>
        </is>
      </c>
      <c r="E98" s="41" t="inlineStr">
        <is>
          <t>{policy}</t>
        </is>
      </c>
      <c r="F98" s="41" t="inlineStr">
        <is>
          <t>{ok}</t>
        </is>
      </c>
      <c r="G98" s="41" t="inlineStr">
        <is>
          <t>Auth(admin)</t>
        </is>
      </c>
      <c r="H98" s="41" t="inlineStr">
        <is>
          <t>-</t>
        </is>
      </c>
      <c r="I98" s="41" t="inlineStr">
        <is>
          <t>P3</t>
        </is>
      </c>
    </row>
    <row r="99">
      <c r="A99" s="41" t="inlineStr">
        <is>
          <t>AP-90</t>
        </is>
      </c>
      <c r="B99" s="41" t="inlineStr">
        <is>
          <t>POST</t>
        </is>
      </c>
      <c r="C99" s="41" t="inlineStr">
        <is>
          <t>/api/contacts/import/legacy</t>
        </is>
      </c>
      <c r="D99" s="41" t="inlineStr">
        <is>
          <t>既存名刺移行</t>
        </is>
      </c>
      <c r="E99" s="41" t="inlineStr">
        <is>
          <t>multipart(file, type=csv|sansan|eight)</t>
        </is>
      </c>
      <c r="F99" s="41" t="inlineStr">
        <is>
          <t>{job_id}</t>
        </is>
      </c>
      <c r="G99" s="41" t="inlineStr">
        <is>
          <t>Auth</t>
        </is>
      </c>
      <c r="H99" s="41" t="inlineStr">
        <is>
          <t>-</t>
        </is>
      </c>
      <c r="I99" s="41" t="inlineStr">
        <is>
          <t>P2</t>
        </is>
      </c>
    </row>
    <row r="100">
      <c r="A100" s="41" t="inlineStr">
        <is>
          <t>AP-91</t>
        </is>
      </c>
      <c r="B100" s="41" t="inlineStr">
        <is>
          <t>POST</t>
        </is>
      </c>
      <c r="C100" s="41" t="inlineStr">
        <is>
          <t>/api/recordings/import</t>
        </is>
      </c>
      <c r="D100" s="41" t="inlineStr">
        <is>
          <t>録画移行</t>
        </is>
      </c>
      <c r="E100" s="41" t="inlineStr">
        <is>
          <t>{provider=zoom, period}</t>
        </is>
      </c>
      <c r="F100" s="41" t="inlineStr">
        <is>
          <t>{job_id}</t>
        </is>
      </c>
      <c r="G100" s="41" t="inlineStr">
        <is>
          <t>Auth</t>
        </is>
      </c>
      <c r="H100" s="41" t="inlineStr">
        <is>
          <t>-</t>
        </is>
      </c>
      <c r="I100" s="41" t="inlineStr">
        <is>
          <t>P3</t>
        </is>
      </c>
    </row>
    <row r="101">
      <c r="A101" s="41" t="inlineStr">
        <is>
          <t>AP-92</t>
        </is>
      </c>
      <c r="B101" s="41" t="inlineStr">
        <is>
          <t>GET</t>
        </is>
      </c>
      <c r="C101" s="41" t="inlineStr">
        <is>
          <t>/api/onboarding/recommendations</t>
        </is>
      </c>
      <c r="D101" s="41" t="inlineStr">
        <is>
          <t>新人推奨</t>
        </is>
      </c>
      <c r="E101" s="41" t="inlineStr">
        <is>
          <t>-</t>
        </is>
      </c>
      <c r="F101" s="41" t="inlineStr">
        <is>
          <t>{items[]}</t>
        </is>
      </c>
      <c r="G101" s="41" t="inlineStr">
        <is>
          <t>Auth</t>
        </is>
      </c>
      <c r="H101" s="41" t="inlineStr">
        <is>
          <t>-</t>
        </is>
      </c>
      <c r="I101" s="41" t="inlineStr">
        <is>
          <t>P3</t>
        </is>
      </c>
    </row>
    <row r="102">
      <c r="A102" s="41" t="inlineStr">
        <is>
          <t>AP-93</t>
        </is>
      </c>
      <c r="B102" s="41" t="inlineStr">
        <is>
          <t>GET</t>
        </is>
      </c>
      <c r="C102" s="41" t="inlineStr">
        <is>
          <t>/api/dashboard/recent-views</t>
        </is>
      </c>
      <c r="D102" s="41" t="inlineStr">
        <is>
          <t>最近見たもの</t>
        </is>
      </c>
      <c r="E102" s="41" t="inlineStr">
        <is>
          <t>-</t>
        </is>
      </c>
      <c r="F102" s="41" t="inlineStr">
        <is>
          <t>{items[]}</t>
        </is>
      </c>
      <c r="G102" s="41" t="inlineStr">
        <is>
          <t>Auth</t>
        </is>
      </c>
      <c r="H102" s="41" t="inlineStr">
        <is>
          <t>-</t>
        </is>
      </c>
      <c r="I102" s="41" t="inlineStr">
        <is>
          <t>P1</t>
        </is>
      </c>
    </row>
    <row r="103">
      <c r="A103" s="41" t="inlineStr">
        <is>
          <t>AP-94</t>
        </is>
      </c>
      <c r="B103" s="41" t="inlineStr">
        <is>
          <t>GET</t>
        </is>
      </c>
      <c r="C103" s="41" t="inlineStr">
        <is>
          <t>/api/search</t>
        </is>
      </c>
      <c r="D103" s="41" t="inlineStr">
        <is>
          <t>検索改修</t>
        </is>
      </c>
      <c r="E103" s="41" t="inlineStr">
        <is>
          <t>?q=&amp;speaker_filter=&amp;from=&amp;to=&amp;exclude_deprecated=true</t>
        </is>
      </c>
      <c r="F103" s="41" t="inlineStr">
        <is>
          <t>{results, ranking_explain}</t>
        </is>
      </c>
      <c r="G103" s="41" t="inlineStr">
        <is>
          <t>Auth</t>
        </is>
      </c>
      <c r="H103" s="41" t="inlineStr">
        <is>
          <t>-</t>
        </is>
      </c>
      <c r="I103" s="41" t="inlineStr">
        <is>
          <t>P1</t>
        </is>
      </c>
    </row>
    <row r="104">
      <c r="A104" s="41" t="inlineStr">
        <is>
          <t>AP-95</t>
        </is>
      </c>
      <c r="B104" s="41" t="inlineStr">
        <is>
          <t>POST</t>
        </is>
      </c>
      <c r="C104" s="41" t="inlineStr">
        <is>
          <t>/api/chat</t>
        </is>
      </c>
      <c r="D104" s="41" t="inlineStr">
        <is>
          <t>ナレッジチャット(出典必須)</t>
        </is>
      </c>
      <c r="E104" s="41" t="inlineStr">
        <is>
          <t>{question}</t>
        </is>
      </c>
      <c r="F104" s="41" t="inlineStr">
        <is>
          <t>stream{tokens, sources_required: true}</t>
        </is>
      </c>
      <c r="G104" s="41" t="inlineStr">
        <is>
          <t>Auth</t>
        </is>
      </c>
      <c r="H104" s="41" t="inlineStr">
        <is>
          <t>-</t>
        </is>
      </c>
      <c r="I104" s="41" t="inlineStr">
        <is>
          <t>P3</t>
        </is>
      </c>
    </row>
    <row r="105">
      <c r="A105" s="41" t="inlineStr">
        <is>
          <t>AP-96</t>
        </is>
      </c>
      <c r="B105" s="41" t="inlineStr">
        <is>
          <t>GET</t>
        </is>
      </c>
      <c r="C105" s="41" t="inlineStr">
        <is>
          <t>/api/exports/personal</t>
        </is>
      </c>
      <c r="D105" s="41" t="inlineStr">
        <is>
          <t>個人データエクスポート</t>
        </is>
      </c>
      <c r="E105" s="41" t="inlineStr">
        <is>
          <t>-</t>
        </is>
      </c>
      <c r="F105" s="41" t="inlineStr">
        <is>
          <t>{export_url}</t>
        </is>
      </c>
      <c r="G105" s="41" t="inlineStr">
        <is>
          <t>Auth</t>
        </is>
      </c>
      <c r="H105" s="41" t="inlineStr">
        <is>
          <t>-</t>
        </is>
      </c>
      <c r="I105" s="41" t="inlineStr">
        <is>
          <t>P3</t>
        </is>
      </c>
    </row>
    <row r="106">
      <c r="A106" s="41" t="inlineStr">
        <is>
          <t>AP-97</t>
        </is>
      </c>
      <c r="B106" s="41" t="inlineStr">
        <is>
          <t>GET</t>
        </is>
      </c>
      <c r="C106" s="41" t="inlineStr">
        <is>
          <t>/api/admin/backup</t>
        </is>
      </c>
      <c r="D106" s="41" t="inlineStr">
        <is>
          <t>バックアップ状態</t>
        </is>
      </c>
      <c r="E106" s="41" t="inlineStr">
        <is>
          <t>-</t>
        </is>
      </c>
      <c r="F106" s="41" t="inlineStr">
        <is>
          <t>{last_pitr, range, snapshots}</t>
        </is>
      </c>
      <c r="G106" s="41" t="inlineStr">
        <is>
          <t>Auth(admin)</t>
        </is>
      </c>
      <c r="H106" s="41" t="inlineStr">
        <is>
          <t>-</t>
        </is>
      </c>
      <c r="I106" s="41" t="inlineStr">
        <is>
          <t>P2</t>
        </is>
      </c>
    </row>
    <row r="107">
      <c r="A107" s="41" t="inlineStr">
        <is>
          <t>AP-98</t>
        </is>
      </c>
      <c r="B107" s="41" t="inlineStr">
        <is>
          <t>POST</t>
        </is>
      </c>
      <c r="C107" s="41" t="inlineStr">
        <is>
          <t>/api/voice-memos</t>
        </is>
      </c>
      <c r="D107" s="41" t="inlineStr">
        <is>
          <t>音声メモ→商談紐付け</t>
        </is>
      </c>
      <c r="E107" s="41" t="inlineStr">
        <is>
          <t>multipart(audio, meeting_id?)</t>
        </is>
      </c>
      <c r="F107" s="41" t="inlineStr">
        <is>
          <t>{transcript, memo_id}</t>
        </is>
      </c>
      <c r="G107" s="41" t="inlineStr">
        <is>
          <t>Auth</t>
        </is>
      </c>
      <c r="H107" s="41" t="inlineStr">
        <is>
          <t>-</t>
        </is>
      </c>
      <c r="I107" s="41" t="inlineStr">
        <is>
          <t>P2</t>
        </is>
      </c>
    </row>
    <row r="108">
      <c r="A108" s="41" t="inlineStr">
        <is>
          <t>AP-99</t>
        </is>
      </c>
      <c r="B108" s="41" t="inlineStr">
        <is>
          <t>GET</t>
        </is>
      </c>
      <c r="C108" s="41" t="inlineStr">
        <is>
          <t>/api/help</t>
        </is>
      </c>
      <c r="D108" s="41" t="inlineStr">
        <is>
          <t>FAQ</t>
        </is>
      </c>
      <c r="E108" s="41" t="inlineStr">
        <is>
          <t>?q=</t>
        </is>
      </c>
      <c r="F108" s="41" t="inlineStr">
        <is>
          <t>{articles[]}</t>
        </is>
      </c>
      <c r="G108" s="41" t="inlineStr">
        <is>
          <t>Auth</t>
        </is>
      </c>
      <c r="H108" s="41" t="inlineStr">
        <is>
          <t>-</t>
        </is>
      </c>
      <c r="I108" s="41" t="inlineStr">
        <is>
          <t>P2</t>
        </is>
      </c>
    </row>
    <row r="109">
      <c r="A109" s="41" t="inlineStr">
        <is>
          <t>AP-100</t>
        </is>
      </c>
      <c r="B109" s="41" t="inlineStr">
        <is>
          <t>POST</t>
        </is>
      </c>
      <c r="C109" s="41" t="inlineStr">
        <is>
          <t>/api/admin/feature-flags</t>
        </is>
      </c>
      <c r="D109" s="41" t="inlineStr">
        <is>
          <t>FF更新</t>
        </is>
      </c>
      <c r="E109" s="41" t="inlineStr">
        <is>
          <t>{flag, percentage, allowlist}</t>
        </is>
      </c>
      <c r="F109" s="41" t="inlineStr">
        <is>
          <t>{ok}</t>
        </is>
      </c>
      <c r="G109" s="41" t="inlineStr">
        <is>
          <t>Auth(admin)</t>
        </is>
      </c>
      <c r="H109" s="41" t="inlineStr">
        <is>
          <t>-</t>
        </is>
      </c>
      <c r="I109" s="41" t="inlineStr">
        <is>
          <t>P2</t>
        </is>
      </c>
    </row>
    <row r="110">
      <c r="A110" s="41" t="inlineStr">
        <is>
          <t>AP-101</t>
        </is>
      </c>
      <c r="B110" s="41" t="inlineStr">
        <is>
          <t>POST</t>
        </is>
      </c>
      <c r="C110" s="41" t="inlineStr">
        <is>
          <t>/api/admin/experiments</t>
        </is>
      </c>
      <c r="D110" s="41" t="inlineStr">
        <is>
          <t>A/Bテスト作成</t>
        </is>
      </c>
      <c r="E110" s="41" t="inlineStr">
        <is>
          <t>{name, variants, metric}</t>
        </is>
      </c>
      <c r="F110" s="41" t="inlineStr">
        <is>
          <t>{exp_id}</t>
        </is>
      </c>
      <c r="G110" s="41" t="inlineStr">
        <is>
          <t>Auth(admin)</t>
        </is>
      </c>
      <c r="H110" s="41" t="inlineStr">
        <is>
          <t>-</t>
        </is>
      </c>
      <c r="I110" s="41" t="inlineStr">
        <is>
          <t>P3</t>
        </is>
      </c>
    </row>
    <row r="111">
      <c r="A111" s="41" t="inlineStr">
        <is>
          <t>AP-102</t>
        </is>
      </c>
      <c r="B111" s="41" t="inlineStr">
        <is>
          <t>POST</t>
        </is>
      </c>
      <c r="C111" s="41" t="inlineStr">
        <is>
          <t>/api/push/subscribe</t>
        </is>
      </c>
      <c r="D111" s="41" t="inlineStr">
        <is>
          <t>Web Pushサブスク</t>
        </is>
      </c>
      <c r="E111" s="41" t="inlineStr">
        <is>
          <t>{endpoint, keys}</t>
        </is>
      </c>
      <c r="F111" s="41" t="inlineStr">
        <is>
          <t>{ok}</t>
        </is>
      </c>
      <c r="G111" s="41" t="inlineStr">
        <is>
          <t>Auth</t>
        </is>
      </c>
      <c r="H111" s="41" t="inlineStr">
        <is>
          <t>-</t>
        </is>
      </c>
      <c r="I111" s="41" t="inlineStr">
        <is>
          <t>P2</t>
        </is>
      </c>
    </row>
    <row r="112">
      <c r="A112" s="41" t="inlineStr">
        <is>
          <t>AP-103</t>
        </is>
      </c>
      <c r="B112" s="41" t="inlineStr">
        <is>
          <t>POST</t>
        </is>
      </c>
      <c r="C112" s="41" t="inlineStr">
        <is>
          <t>/api/realtime/presence</t>
        </is>
      </c>
      <c r="D112" s="41" t="inlineStr">
        <is>
          <t>プレゼンス更新</t>
        </is>
      </c>
      <c r="E112" s="41" t="inlineStr">
        <is>
          <t>{resource_id}</t>
        </is>
      </c>
      <c r="F112" s="41" t="inlineStr">
        <is>
          <t>{ok}</t>
        </is>
      </c>
      <c r="G112" s="41" t="inlineStr">
        <is>
          <t>Auth</t>
        </is>
      </c>
      <c r="H112" s="41" t="inlineStr">
        <is>
          <t>-</t>
        </is>
      </c>
      <c r="I112" s="41" t="inlineStr">
        <is>
          <t>P2</t>
        </is>
      </c>
    </row>
    <row r="113">
      <c r="A113" s="41" t="inlineStr">
        <is>
          <t>AP-104</t>
        </is>
      </c>
      <c r="B113" s="41" t="inlineStr">
        <is>
          <t>GET</t>
        </is>
      </c>
      <c r="C113" s="41" t="inlineStr">
        <is>
          <t>/api/i18n/[locale]</t>
        </is>
      </c>
      <c r="D113" s="41" t="inlineStr">
        <is>
          <t>翻訳辞書</t>
        </is>
      </c>
      <c r="E113" s="41" t="inlineStr">
        <is>
          <t>-</t>
        </is>
      </c>
      <c r="F113" s="41" t="inlineStr">
        <is>
          <t>{messages}</t>
        </is>
      </c>
      <c r="G113" s="41" t="inlineStr">
        <is>
          <t>-</t>
        </is>
      </c>
      <c r="H113" s="41" t="inlineStr">
        <is>
          <t>-</t>
        </is>
      </c>
      <c r="I113" s="41" t="inlineStr">
        <is>
          <t>P3</t>
        </is>
      </c>
    </row>
    <row r="115">
      <c r="A115" s="41" t="inlineStr">
        <is>
          <t>■ Round1指摘反映で追加API(v2.1)</t>
        </is>
      </c>
      <c r="B115" s="41" t="n"/>
      <c r="C115" s="41" t="n"/>
      <c r="D115" s="41" t="n"/>
      <c r="E115" s="41" t="n"/>
      <c r="F115" s="41" t="n"/>
      <c r="G115" s="41" t="n"/>
      <c r="H115" s="41" t="n"/>
      <c r="I115" s="41" t="n"/>
    </row>
    <row r="116">
      <c r="A116" s="41" t="inlineStr">
        <is>
          <t>ID</t>
        </is>
      </c>
      <c r="B116" s="41" t="inlineStr">
        <is>
          <t>メソッド</t>
        </is>
      </c>
      <c r="C116" s="41" t="inlineStr">
        <is>
          <t>パス</t>
        </is>
      </c>
      <c r="D116" s="41" t="inlineStr">
        <is>
          <t>概要</t>
        </is>
      </c>
      <c r="E116" s="41" t="inlineStr">
        <is>
          <t>リクエスト</t>
        </is>
      </c>
      <c r="F116" s="41" t="inlineStr">
        <is>
          <t>レスポンス</t>
        </is>
      </c>
      <c r="G116" s="41" t="inlineStr">
        <is>
          <t>認証</t>
        </is>
      </c>
      <c r="H116" s="41" t="inlineStr">
        <is>
          <t>エラー</t>
        </is>
      </c>
      <c r="I116" s="41" t="inlineStr">
        <is>
          <t>Phase</t>
        </is>
      </c>
    </row>
    <row r="117">
      <c r="A117" s="41" t="inlineStr">
        <is>
          <t>AP-105</t>
        </is>
      </c>
      <c r="B117" s="41" t="inlineStr">
        <is>
          <t>POST</t>
        </is>
      </c>
      <c r="C117" s="41" t="inlineStr">
        <is>
          <t>/api/cti/incoming</t>
        </is>
      </c>
      <c r="D117" s="41" t="inlineStr">
        <is>
          <t>CTI着信受信(G-1)</t>
        </is>
      </c>
      <c r="E117" s="41" t="inlineStr">
        <is>
          <t>{caller_phone}</t>
        </is>
      </c>
      <c r="F117" s="41" t="inlineStr">
        <is>
          <t>{contact_id?,company_id?,recent_meetings,top_complaints}</t>
        </is>
      </c>
      <c r="G117" s="41" t="inlineStr">
        <is>
          <t>Auth(CTI gateway shared secret)</t>
        </is>
      </c>
      <c r="H117" s="41" t="inlineStr">
        <is>
          <t>-</t>
        </is>
      </c>
      <c r="I117" s="41" t="inlineStr">
        <is>
          <t>P3</t>
        </is>
      </c>
    </row>
    <row r="118">
      <c r="A118" s="41" t="inlineStr">
        <is>
          <t>AP-106</t>
        </is>
      </c>
      <c r="B118" s="41" t="inlineStr">
        <is>
          <t>POST</t>
        </is>
      </c>
      <c r="C118" s="41" t="inlineStr">
        <is>
          <t>/api/meetings/[id]/consent/per-attendee</t>
        </is>
      </c>
      <c r="D118" s="41" t="inlineStr">
        <is>
          <t>参加者個別同意(C-1,G-2)</t>
        </is>
      </c>
      <c r="E118" s="41" t="inlineStr">
        <is>
          <t>{attendee_id, consent, captured_via}</t>
        </is>
      </c>
      <c r="F118" s="41" t="inlineStr">
        <is>
          <t>{ok,segments_to_redact[]}</t>
        </is>
      </c>
      <c r="G118" s="41" t="inlineStr">
        <is>
          <t>Auth</t>
        </is>
      </c>
      <c r="H118" s="41" t="inlineStr">
        <is>
          <t>-</t>
        </is>
      </c>
      <c r="I118" s="41" t="inlineStr">
        <is>
          <t>P2</t>
        </is>
      </c>
    </row>
    <row r="119">
      <c r="A119" s="41" t="inlineStr">
        <is>
          <t>AP-107</t>
        </is>
      </c>
      <c r="B119" s="41" t="inlineStr">
        <is>
          <t>POST</t>
        </is>
      </c>
      <c r="C119" s="41" t="inlineStr">
        <is>
          <t>/api/meetings/[id]/share-safe-clip</t>
        </is>
      </c>
      <c r="D119" s="41" t="inlineStr">
        <is>
          <t>内部メモ除外で共有(G-3)</t>
        </is>
      </c>
      <c r="E119" s="41" t="inlineStr">
        <is>
          <t>{start,end,exclude_internal=true,exclude_sensitive=true}</t>
        </is>
      </c>
      <c r="F119" s="41" t="inlineStr">
        <is>
          <t>{share_token,preview_url}</t>
        </is>
      </c>
      <c r="G119" s="41" t="inlineStr">
        <is>
          <t>Auth</t>
        </is>
      </c>
      <c r="H119" s="41" t="inlineStr">
        <is>
          <t>-</t>
        </is>
      </c>
      <c r="I119" s="41" t="inlineStr">
        <is>
          <t>P2</t>
        </is>
      </c>
    </row>
    <row r="120">
      <c r="A120" s="41" t="inlineStr">
        <is>
          <t>AP-108</t>
        </is>
      </c>
      <c r="B120" s="41" t="inlineStr">
        <is>
          <t>POST</t>
        </is>
      </c>
      <c r="C120" s="41" t="inlineStr">
        <is>
          <t>/api/voice-memos/[id]/resume</t>
        </is>
      </c>
      <c r="D120" s="41" t="inlineStr">
        <is>
          <t>録音中断後再開(G-4)</t>
        </is>
      </c>
      <c r="E120" s="41" t="inlineStr">
        <is>
          <t>{partial_chunks[]}</t>
        </is>
      </c>
      <c r="F120" s="41" t="inlineStr">
        <is>
          <t>{memo_id,combined_url}</t>
        </is>
      </c>
      <c r="G120" s="41" t="inlineStr">
        <is>
          <t>Auth</t>
        </is>
      </c>
      <c r="H120" s="41" t="inlineStr">
        <is>
          <t>-</t>
        </is>
      </c>
      <c r="I120" s="41" t="inlineStr">
        <is>
          <t>P2</t>
        </is>
      </c>
    </row>
    <row r="121">
      <c r="A121" s="41" t="inlineStr">
        <is>
          <t>AP-109</t>
        </is>
      </c>
      <c r="B121" s="41" t="inlineStr">
        <is>
          <t>WS</t>
        </is>
      </c>
      <c r="C121" s="41" t="inlineStr">
        <is>
          <t>/api/roleplay/observe (改修)</t>
        </is>
      </c>
      <c r="D121" s="41" t="inlineStr">
        <is>
          <t>観戦時observer_joined/left発火</t>
        </is>
      </c>
      <c r="E121" s="41" t="inlineStr">
        <is>
          <t>-</t>
        </is>
      </c>
      <c r="F121" s="41" t="inlineStr">
        <is>
          <t>stream(events)</t>
        </is>
      </c>
      <c r="G121" s="41" t="inlineStr">
        <is>
          <t>Auth(manager)+本人合意</t>
        </is>
      </c>
      <c r="H121" s="41" t="inlineStr">
        <is>
          <t>-</t>
        </is>
      </c>
      <c r="I121" s="41" t="inlineStr">
        <is>
          <t>P3</t>
        </is>
      </c>
    </row>
    <row r="122">
      <c r="A122" s="41" t="inlineStr">
        <is>
          <t>AP-110</t>
        </is>
      </c>
      <c r="B122" s="41" t="inlineStr">
        <is>
          <t>POST</t>
        </is>
      </c>
      <c r="C122" s="41" t="inlineStr">
        <is>
          <t>/api/admin/trash/reminders</t>
        </is>
      </c>
      <c r="D122" s="41" t="inlineStr">
        <is>
          <t>Soft delete期限通知発送(G-6)</t>
        </is>
      </c>
      <c r="E122" s="41" t="inlineStr">
        <is>
          <t>-</t>
        </is>
      </c>
      <c r="F122" s="41" t="inlineStr">
        <is>
          <t>{count_sent}</t>
        </is>
      </c>
      <c r="G122" s="41" t="inlineStr">
        <is>
          <t>Auth(admin)</t>
        </is>
      </c>
      <c r="H122" s="41" t="inlineStr">
        <is>
          <t>-</t>
        </is>
      </c>
      <c r="I122" s="41" t="inlineStr">
        <is>
          <t>P2</t>
        </is>
      </c>
    </row>
    <row r="123">
      <c r="A123" s="41" t="inlineStr">
        <is>
          <t>AP-111</t>
        </is>
      </c>
      <c r="B123" s="41" t="inlineStr">
        <is>
          <t>POST</t>
        </is>
      </c>
      <c r="C123" s="41" t="inlineStr">
        <is>
          <t>/api/admin/legal/export(改修)</t>
        </is>
      </c>
      <c r="D123" s="41" t="inlineStr">
        <is>
          <t>チェーンオブカストディ(C-4)</t>
        </is>
      </c>
      <c r="E123" s="41" t="inlineStr">
        <is>
          <t>{period,scope,warrant_type,requesting_authority,dual_approver_id}</t>
        </is>
      </c>
      <c r="F123" s="41" t="inlineStr">
        <is>
          <t>{manifest_url,gpg_signature_url}</t>
        </is>
      </c>
      <c r="G123" s="41" t="inlineStr">
        <is>
          <t>Auth(admin+legal+MFA)</t>
        </is>
      </c>
      <c r="H123" s="41" t="inlineStr">
        <is>
          <t>-</t>
        </is>
      </c>
      <c r="I123" s="41" t="inlineStr">
        <is>
          <t>P3</t>
        </is>
      </c>
    </row>
    <row r="124">
      <c r="A124" s="41" t="inlineStr">
        <is>
          <t>AP-112</t>
        </is>
      </c>
      <c r="B124" s="41" t="inlineStr">
        <is>
          <t>POST</t>
        </is>
      </c>
      <c r="C124" s="41" t="inlineStr">
        <is>
          <t>/api/exports/personal/[user]/offboarding</t>
        </is>
      </c>
      <c r="D124" s="41" t="inlineStr">
        <is>
          <t>退職時データ可搬性(C-6)</t>
        </is>
      </c>
      <c r="E124" s="41" t="inlineStr">
        <is>
          <t>-</t>
        </is>
      </c>
      <c r="F124" s="41" t="inlineStr">
        <is>
          <t>{export_url}</t>
        </is>
      </c>
      <c r="G124" s="41" t="inlineStr">
        <is>
          <t>Auth(admin)+self</t>
        </is>
      </c>
      <c r="H124" s="41" t="inlineStr">
        <is>
          <t>-</t>
        </is>
      </c>
      <c r="I124" s="41" t="inlineStr">
        <is>
          <t>P3</t>
        </is>
      </c>
    </row>
    <row r="125">
      <c r="A125" s="41" t="inlineStr">
        <is>
          <t>AP-113</t>
        </is>
      </c>
      <c r="B125" s="41" t="inlineStr">
        <is>
          <t>POST</t>
        </is>
      </c>
      <c r="C125" s="41" t="inlineStr">
        <is>
          <t>/api/admin/audit/verify-chain</t>
        </is>
      </c>
      <c r="D125" s="41" t="inlineStr">
        <is>
          <t>audit_logs ハッシュチェーン検証(C-5)</t>
        </is>
      </c>
      <c r="E125" s="41" t="inlineStr">
        <is>
          <t>{period}</t>
        </is>
      </c>
      <c r="F125" s="41" t="inlineStr">
        <is>
          <t>{ok,broken_links?}</t>
        </is>
      </c>
      <c r="G125" s="41" t="inlineStr">
        <is>
          <t>Auth(admin)</t>
        </is>
      </c>
      <c r="H125" s="41" t="inlineStr">
        <is>
          <t>-</t>
        </is>
      </c>
      <c r="I125" s="41" t="inlineStr">
        <is>
          <t>P2</t>
        </is>
      </c>
    </row>
    <row r="126">
      <c r="A126" s="41" t="inlineStr">
        <is>
          <t>AP-114</t>
        </is>
      </c>
      <c r="B126" s="41" t="inlineStr">
        <is>
          <t>GET</t>
        </is>
      </c>
      <c r="C126" s="41" t="inlineStr">
        <is>
          <t>/api/admin/dr/restore-points</t>
        </is>
      </c>
      <c r="D126" s="41" t="inlineStr">
        <is>
          <t>DRポイント一覧(M-C4)</t>
        </is>
      </c>
      <c r="E126" s="41" t="inlineStr">
        <is>
          <t>-</t>
        </is>
      </c>
      <c r="F126" s="41" t="inlineStr">
        <is>
          <t>{points[]}</t>
        </is>
      </c>
      <c r="G126" s="41" t="inlineStr">
        <is>
          <t>Auth(admin)</t>
        </is>
      </c>
      <c r="H126" s="41" t="inlineStr">
        <is>
          <t>-</t>
        </is>
      </c>
      <c r="I126" s="41" t="inlineStr">
        <is>
          <t>P2</t>
        </is>
      </c>
    </row>
    <row r="127">
      <c r="A127" s="41" t="inlineStr">
        <is>
          <t>AP-115</t>
        </is>
      </c>
      <c r="B127" s="41" t="inlineStr">
        <is>
          <t>GET</t>
        </is>
      </c>
      <c r="C127" s="41" t="inlineStr">
        <is>
          <t>/api/admin/policies/consent</t>
        </is>
      </c>
      <c r="D127" s="41" t="inlineStr">
        <is>
          <t>利用規約版数(M-C5)</t>
        </is>
      </c>
      <c r="E127" s="41" t="inlineStr">
        <is>
          <t>-</t>
        </is>
      </c>
      <c r="F127" s="41" t="inlineStr">
        <is>
          <t>{current,history}</t>
        </is>
      </c>
      <c r="G127" s="41" t="inlineStr">
        <is>
          <t>Auth(admin)</t>
        </is>
      </c>
      <c r="H127" s="41" t="inlineStr">
        <is>
          <t>-</t>
        </is>
      </c>
      <c r="I127" s="41" t="inlineStr">
        <is>
          <t>P2</t>
        </is>
      </c>
    </row>
    <row r="128">
      <c r="A128" s="41" t="inlineStr">
        <is>
          <t>AP-116</t>
        </is>
      </c>
      <c r="B128" s="41" t="inlineStr">
        <is>
          <t>POST</t>
        </is>
      </c>
      <c r="C128" s="41" t="inlineStr">
        <is>
          <t>/api/admin/policies/consent/[v]/revoke-impact</t>
        </is>
      </c>
      <c r="D128" s="41" t="inlineStr">
        <is>
          <t>撤回時影響範囲(M-C5)</t>
        </is>
      </c>
      <c r="E128" s="41" t="inlineStr">
        <is>
          <t>{user_id}</t>
        </is>
      </c>
      <c r="F128" s="41" t="inlineStr">
        <is>
          <t>{ai_processing_stop,embeddings_to_remove}</t>
        </is>
      </c>
      <c r="G128" s="41" t="inlineStr">
        <is>
          <t>Auth(admin)</t>
        </is>
      </c>
      <c r="H128" s="41" t="inlineStr">
        <is>
          <t>-</t>
        </is>
      </c>
      <c r="I128" s="41" t="inlineStr">
        <is>
          <t>P2</t>
        </is>
      </c>
    </row>
    <row r="129">
      <c r="A129" s="41" t="inlineStr">
        <is>
          <t>AP-117</t>
        </is>
      </c>
      <c r="B129" s="41" t="inlineStr">
        <is>
          <t>POST</t>
        </is>
      </c>
      <c r="C129" s="41" t="inlineStr">
        <is>
          <t>/api/admin/llm-killswitch</t>
        </is>
      </c>
      <c r="D129" s="41" t="inlineStr">
        <is>
          <t>LLMコストkill switch(M-C6)</t>
        </is>
      </c>
      <c r="E129" s="41" t="inlineStr">
        <is>
          <t>{disabled:true,reason}</t>
        </is>
      </c>
      <c r="F129" s="41" t="inlineStr">
        <is>
          <t>{ok}</t>
        </is>
      </c>
      <c r="G129" s="41" t="inlineStr">
        <is>
          <t>Auth(admin)+MFA</t>
        </is>
      </c>
      <c r="H129" s="41" t="inlineStr">
        <is>
          <t>-</t>
        </is>
      </c>
      <c r="I129" s="41" t="inlineStr">
        <is>
          <t>P2</t>
        </is>
      </c>
    </row>
    <row r="130">
      <c r="A130" s="41" t="inlineStr">
        <is>
          <t>AP-118</t>
        </is>
      </c>
      <c r="B130" s="41" t="inlineStr">
        <is>
          <t>POST</t>
        </is>
      </c>
      <c r="C130" s="41" t="inlineStr">
        <is>
          <t>/api/internal/jobs-inflight/acquire</t>
        </is>
      </c>
      <c r="D130" s="41" t="inlineStr">
        <is>
          <t>pgmq冪等性ガード(T-3)</t>
        </is>
      </c>
      <c r="E130" s="41" t="inlineStr">
        <is>
          <t>{queue,idempotency_key,ttl_sec}</t>
        </is>
      </c>
      <c r="F130" s="41" t="inlineStr">
        <is>
          <t>{acquired:bool}</t>
        </is>
      </c>
      <c r="G130" s="41" t="inlineStr">
        <is>
          <t>Auth(service)</t>
        </is>
      </c>
      <c r="H130" s="41" t="inlineStr">
        <is>
          <t>-</t>
        </is>
      </c>
      <c r="I130" s="41" t="inlineStr">
        <is>
          <t>P1</t>
        </is>
      </c>
    </row>
    <row r="131">
      <c r="A131" s="41" t="inlineStr">
        <is>
          <t>AP-119</t>
        </is>
      </c>
      <c r="B131" s="41" t="inlineStr">
        <is>
          <t>POST</t>
        </is>
      </c>
      <c r="C131" s="41" t="inlineStr">
        <is>
          <t>/api/admin/users/offboarding</t>
        </is>
      </c>
      <c r="D131" s="41" t="inlineStr">
        <is>
          <t>退職処理起動(C-6)</t>
        </is>
      </c>
      <c r="E131" s="41" t="inlineStr">
        <is>
          <t>{user_id,target_owner,policy}</t>
        </is>
      </c>
      <c r="F131" s="41" t="inlineStr">
        <is>
          <t>{ticket_id}</t>
        </is>
      </c>
      <c r="G131" s="41" t="inlineStr">
        <is>
          <t>Auth(admin)</t>
        </is>
      </c>
      <c r="H131" s="41" t="inlineStr">
        <is>
          <t>-</t>
        </is>
      </c>
      <c r="I131" s="41" t="inlineStr">
        <is>
          <t>P2</t>
        </is>
      </c>
    </row>
    <row r="132">
      <c r="A132" s="41" t="inlineStr">
        <is>
          <t>AP-120</t>
        </is>
      </c>
      <c r="B132" s="41" t="inlineStr">
        <is>
          <t>GET</t>
        </is>
      </c>
      <c r="C132" s="41" t="inlineStr">
        <is>
          <t>/api/admin/users/offboarding/[id]</t>
        </is>
      </c>
      <c r="D132" s="41" t="inlineStr">
        <is>
          <t>退職処理進捗</t>
        </is>
      </c>
      <c r="E132" s="41" t="inlineStr">
        <is>
          <t>-</t>
        </is>
      </c>
      <c r="F132" s="41" t="inlineStr">
        <is>
          <t>{checklist_state}</t>
        </is>
      </c>
      <c r="G132" s="41" t="inlineStr">
        <is>
          <t>Auth(admin)</t>
        </is>
      </c>
      <c r="H132" s="41" t="inlineStr">
        <is>
          <t>-</t>
        </is>
      </c>
      <c r="I132" s="41" t="inlineStr">
        <is>
          <t>P2</t>
        </is>
      </c>
    </row>
    <row r="134">
      <c r="A134" s="41" t="inlineStr">
        <is>
          <t>■ Round2指摘反映追加・改修(v2.2)</t>
        </is>
      </c>
      <c r="B134" s="41" t="n"/>
      <c r="C134" s="41" t="n"/>
      <c r="D134" s="41" t="n"/>
      <c r="E134" s="41" t="n"/>
      <c r="F134" s="41" t="n"/>
      <c r="G134" s="41" t="n"/>
      <c r="H134" s="41" t="n"/>
      <c r="I134" s="41" t="n"/>
    </row>
    <row r="135">
      <c r="A135" s="41" t="inlineStr">
        <is>
          <t>ID</t>
        </is>
      </c>
      <c r="B135" s="41" t="inlineStr">
        <is>
          <t>メソッド</t>
        </is>
      </c>
      <c r="C135" s="41" t="inlineStr">
        <is>
          <t>パス</t>
        </is>
      </c>
      <c r="D135" s="41" t="inlineStr">
        <is>
          <t>概要</t>
        </is>
      </c>
      <c r="E135" s="41" t="inlineStr">
        <is>
          <t>リクエスト</t>
        </is>
      </c>
      <c r="F135" s="41" t="inlineStr">
        <is>
          <t>レスポンス</t>
        </is>
      </c>
      <c r="G135" s="41" t="inlineStr">
        <is>
          <t>認証</t>
        </is>
      </c>
      <c r="H135" s="41" t="inlineStr">
        <is>
          <t>エラー</t>
        </is>
      </c>
      <c r="I135" s="41" t="inlineStr">
        <is>
          <t>Phase</t>
        </is>
      </c>
    </row>
    <row r="136">
      <c r="A136" s="41" t="inlineStr">
        <is>
          <t>AP-22(改)</t>
        </is>
      </c>
      <c r="B136" s="41" t="inlineStr">
        <is>
          <t>PATCH</t>
        </is>
      </c>
      <c r="C136" s="41" t="inlineStr">
        <is>
          <t>/api/recordings/[id]/insights</t>
        </is>
      </c>
      <c r="D136" s="41" t="inlineStr">
        <is>
          <t>AI抽出のインライン編集</t>
        </is>
      </c>
      <c r="E136" s="41" t="inlineStr">
        <is>
          <t>{commitments?, needs?, objections?, next_actions?}</t>
        </is>
      </c>
      <c r="F136" s="41" t="inlineStr">
        <is>
          <t>{ok, embedding_status: 'pending'|'fresh', impacted_chunks: int, version: int}</t>
        </is>
      </c>
      <c r="G136" s="41" t="inlineStr">
        <is>
          <t>Auth</t>
        </is>
      </c>
      <c r="H136" s="41" t="inlineStr">
        <is>
          <t>409(楽観ロック)</t>
        </is>
      </c>
      <c r="I136" s="41" t="inlineStr">
        <is>
          <t>P2</t>
        </is>
      </c>
    </row>
    <row r="137">
      <c r="A137" s="41" t="inlineStr">
        <is>
          <t>AP-121</t>
        </is>
      </c>
      <c r="B137" s="41" t="inlineStr">
        <is>
          <t>GET</t>
        </is>
      </c>
      <c r="C137" s="41" t="inlineStr">
        <is>
          <t>/api/settings/handedness</t>
        </is>
      </c>
      <c r="D137" s="41" t="inlineStr">
        <is>
          <t>左右利き設定取得(NG-1)</t>
        </is>
      </c>
      <c r="E137" s="41" t="inlineStr">
        <is>
          <t>-</t>
        </is>
      </c>
      <c r="F137" s="41" t="inlineStr">
        <is>
          <t>{handedness:'left'|'right'}</t>
        </is>
      </c>
      <c r="G137" s="41" t="inlineStr">
        <is>
          <t>Auth</t>
        </is>
      </c>
      <c r="H137" s="41" t="inlineStr">
        <is>
          <t>-</t>
        </is>
      </c>
      <c r="I137" s="41" t="inlineStr">
        <is>
          <t>P3</t>
        </is>
      </c>
    </row>
    <row r="138">
      <c r="A138" s="41" t="inlineStr">
        <is>
          <t>AP-122</t>
        </is>
      </c>
      <c r="B138" s="41" t="inlineStr">
        <is>
          <t>PUT</t>
        </is>
      </c>
      <c r="C138" s="41" t="inlineStr">
        <is>
          <t>/api/settings/handedness</t>
        </is>
      </c>
      <c r="D138" s="41" t="inlineStr">
        <is>
          <t>設定保存</t>
        </is>
      </c>
      <c r="E138" s="41" t="inlineStr">
        <is>
          <t>{handedness}</t>
        </is>
      </c>
      <c r="F138" s="41" t="inlineStr">
        <is>
          <t>{ok}</t>
        </is>
      </c>
      <c r="G138" s="41" t="inlineStr">
        <is>
          <t>Auth</t>
        </is>
      </c>
      <c r="H138" s="41" t="inlineStr">
        <is>
          <t>-</t>
        </is>
      </c>
      <c r="I138" s="41" t="inlineStr">
        <is>
          <t>P3</t>
        </is>
      </c>
    </row>
    <row r="139">
      <c r="A139" s="41" t="inlineStr">
        <is>
          <t>AP-123</t>
        </is>
      </c>
      <c r="B139" s="41" t="inlineStr">
        <is>
          <t>POST</t>
        </is>
      </c>
      <c r="C139" s="41" t="inlineStr">
        <is>
          <t>/api/onboarding/pwa-installed</t>
        </is>
      </c>
      <c r="D139" s="41" t="inlineStr">
        <is>
          <t>PWAインストール記録(NG-2)</t>
        </is>
      </c>
      <c r="E139" s="41" t="inlineStr">
        <is>
          <t>{platform:'ios'|'android'|'desktop'}</t>
        </is>
      </c>
      <c r="F139" s="41" t="inlineStr">
        <is>
          <t>{ok}</t>
        </is>
      </c>
      <c r="G139" s="41" t="inlineStr">
        <is>
          <t>Auth</t>
        </is>
      </c>
      <c r="H139" s="41" t="inlineStr">
        <is>
          <t>-</t>
        </is>
      </c>
      <c r="I139" s="41" t="inlineStr">
        <is>
          <t>P2</t>
        </is>
      </c>
    </row>
    <row r="140">
      <c r="A140" s="41" t="inlineStr">
        <is>
          <t>AP-124</t>
        </is>
      </c>
      <c r="B140" s="41" t="inlineStr">
        <is>
          <t>GET</t>
        </is>
      </c>
      <c r="C140" s="41" t="inlineStr">
        <is>
          <t>/api/admin/audit/verify-chain/range</t>
        </is>
      </c>
      <c r="D140" s="41" t="inlineStr">
        <is>
          <t>期間指定のhash chain検証(NG-4補足)</t>
        </is>
      </c>
      <c r="E140" s="41" t="inlineStr">
        <is>
          <t>?from=&amp;to=</t>
        </is>
      </c>
      <c r="F140" s="41" t="inlineStr">
        <is>
          <t>{ok, broken_links:[{row_id,prev_hash,actual_hash}]}</t>
        </is>
      </c>
      <c r="G140" s="41" t="inlineStr">
        <is>
          <t>Auth(admin)</t>
        </is>
      </c>
      <c r="H140" s="41" t="inlineStr">
        <is>
          <t>-</t>
        </is>
      </c>
      <c r="I140" s="41" t="inlineStr">
        <is>
          <t>P2</t>
        </is>
      </c>
    </row>
    <row r="142">
      <c r="A142" s="41" t="inlineStr">
        <is>
          <t>■ v2.3 追加・改修API(実演シミュ反映)</t>
        </is>
      </c>
      <c r="B142" s="41" t="n"/>
      <c r="C142" s="41" t="n"/>
      <c r="D142" s="41" t="n"/>
      <c r="E142" s="41" t="n"/>
      <c r="F142" s="41" t="n"/>
      <c r="G142" s="41" t="n"/>
      <c r="H142" s="41" t="n"/>
      <c r="I142" s="41" t="n"/>
    </row>
    <row r="143">
      <c r="A143" s="41" t="inlineStr">
        <is>
          <t>ID</t>
        </is>
      </c>
      <c r="B143" s="41" t="inlineStr">
        <is>
          <t>メソッド</t>
        </is>
      </c>
      <c r="C143" s="41" t="inlineStr">
        <is>
          <t>パス</t>
        </is>
      </c>
      <c r="D143" s="41" t="inlineStr">
        <is>
          <t>概要</t>
        </is>
      </c>
      <c r="E143" s="41" t="inlineStr">
        <is>
          <t>リクエスト</t>
        </is>
      </c>
      <c r="F143" s="41" t="inlineStr">
        <is>
          <t>レスポンス</t>
        </is>
      </c>
      <c r="G143" s="41" t="inlineStr">
        <is>
          <t>認証</t>
        </is>
      </c>
      <c r="H143" s="41" t="inlineStr">
        <is>
          <t>エラー</t>
        </is>
      </c>
      <c r="I143" s="41" t="inlineStr">
        <is>
          <t>Phase</t>
        </is>
      </c>
    </row>
    <row r="144">
      <c r="A144" s="41" t="inlineStr">
        <is>
          <t>AP-50(改)</t>
        </is>
      </c>
      <c r="B144" s="41" t="inlineStr">
        <is>
          <t>POST</t>
        </is>
      </c>
      <c r="C144" s="41" t="inlineStr">
        <is>
          <t>/api/ocr/business-card</t>
        </is>
      </c>
      <c r="D144" s="41" t="inlineStr">
        <is>
          <t>低信頼度時はdeferred_review返却(F-S1-2)</t>
        </is>
      </c>
      <c r="E144" s="41" t="inlineStr">
        <is>
          <t>multipart(image,...)</t>
        </is>
      </c>
      <c r="F144" s="41" t="inlineStr">
        <is>
          <t>{contact_draft, confidence, classification, status: 'ok'|'deferred_review'}</t>
        </is>
      </c>
      <c r="G144" s="41" t="inlineStr">
        <is>
          <t>Auth</t>
        </is>
      </c>
      <c r="H144" s="41" t="inlineStr">
        <is>
          <t>-</t>
        </is>
      </c>
      <c r="I144" s="41" t="inlineStr">
        <is>
          <t>P1</t>
        </is>
      </c>
    </row>
    <row r="145">
      <c r="A145" s="41" t="inlineStr">
        <is>
          <t>AP-57(改)</t>
        </is>
      </c>
      <c r="B145" s="41" t="inlineStr">
        <is>
          <t>POST</t>
        </is>
      </c>
      <c r="C145" s="41" t="inlineStr">
        <is>
          <t>/api/internal-invites</t>
        </is>
      </c>
      <c r="D145" s="41" t="inlineStr">
        <is>
          <t>発火点=proposal送信時のみ(F-S2-5)+deadline_override対応(F-S2-1)</t>
        </is>
      </c>
      <c r="E145" s="41" t="inlineStr">
        <is>
          <t>{meeting_id, invitee_id, deadline?, deadline_override?:true}</t>
        </is>
      </c>
      <c r="F145" s="41" t="inlineStr">
        <is>
          <t>{invite_id, deadline_at}</t>
        </is>
      </c>
      <c r="G145" s="41" t="inlineStr">
        <is>
          <t>Auth</t>
        </is>
      </c>
      <c r="H145" s="41" t="inlineStr">
        <is>
          <t>-</t>
        </is>
      </c>
      <c r="I145" s="41" t="inlineStr">
        <is>
          <t>P2</t>
        </is>
      </c>
    </row>
    <row r="146">
      <c r="A146" s="41" t="inlineStr">
        <is>
          <t>AP-60(改)</t>
        </is>
      </c>
      <c r="B146" s="41" t="inlineStr">
        <is>
          <t>GET</t>
        </is>
      </c>
      <c r="C146" s="41" t="inlineStr">
        <is>
          <t>/api/availability</t>
        </is>
      </c>
      <c r="D146" s="41" t="inlineStr">
        <is>
          <t>work_hours未設定attendee警告含む(F-S2-3)</t>
        </is>
      </c>
      <c r="E146" s="41" t="inlineStr">
        <is>
          <t>?attendees=&amp;duration=&amp;tz=&amp;exclude_holds=&amp;room=</t>
        </is>
      </c>
      <c r="F146" s="41" t="inlineStr">
        <is>
          <t>{slots[], warnings:[{attendee_id, missing_work_hours:true}]}</t>
        </is>
      </c>
      <c r="G146" s="41" t="inlineStr">
        <is>
          <t>Auth</t>
        </is>
      </c>
      <c r="H146" s="41" t="inlineStr">
        <is>
          <t>-</t>
        </is>
      </c>
      <c r="I146" s="41" t="inlineStr">
        <is>
          <t>P2</t>
        </is>
      </c>
    </row>
    <row r="147">
      <c r="A147" s="41" t="inlineStr">
        <is>
          <t>AP-62(改)</t>
        </is>
      </c>
      <c r="B147" s="41" t="inlineStr">
        <is>
          <t>POST</t>
        </is>
      </c>
      <c r="C147" s="41" t="inlineStr">
        <is>
          <t>/api/calendar-holds</t>
        </is>
      </c>
      <c r="D147" s="41" t="inlineStr">
        <is>
          <t>transparency='transparent'+hold_visibility指定(F-S2-2)</t>
        </is>
      </c>
      <c r="E147" s="41" t="inlineStr">
        <is>
          <t>{slots[], hold_visibility?:'owner_only'|'attendees_dimmed'|'attendees_visible'}</t>
        </is>
      </c>
      <c r="F147" s="41" t="inlineStr">
        <is>
          <t>{hold_ids}</t>
        </is>
      </c>
      <c r="G147" s="41" t="inlineStr">
        <is>
          <t>Auth</t>
        </is>
      </c>
      <c r="H147" s="41" t="inlineStr">
        <is>
          <t>-</t>
        </is>
      </c>
      <c r="I147" s="41" t="inlineStr">
        <is>
          <t>P2</t>
        </is>
      </c>
    </row>
    <row r="148">
      <c r="A148" s="41" t="inlineStr">
        <is>
          <t>AP-64(改)</t>
        </is>
      </c>
      <c r="B148" s="41" t="inlineStr">
        <is>
          <t>POST</t>
        </is>
      </c>
      <c r="C148" s="41" t="inlineStr">
        <is>
          <t>/api/scheduling/parse</t>
        </is>
      </c>
      <c r="D148" s="41" t="inlineStr">
        <is>
          <t>suggested_action必須(F-S3-2)+counter_propose intent(F-S2-4)</t>
        </is>
      </c>
      <c r="E148" s="41" t="inlineStr">
        <is>
          <t>{message_id}</t>
        </is>
      </c>
      <c r="F148" s="41" t="inlineStr">
        <is>
          <t>{intent, slots, cc_added, attachments_routed, suggested_action: 'reply_with_phone_template'|'convert_to_visit_meeting'|'mark_unrelated'|'escalate_to_manager'|'counter_propose_from_share_token'}</t>
        </is>
      </c>
      <c r="G148" s="41" t="inlineStr">
        <is>
          <t>Auth</t>
        </is>
      </c>
      <c r="H148" s="41" t="inlineStr">
        <is>
          <t>-</t>
        </is>
      </c>
      <c r="I148" s="41" t="inlineStr">
        <is>
          <t>P2</t>
        </is>
      </c>
    </row>
    <row r="149">
      <c r="A149" s="41" t="inlineStr">
        <is>
          <t>AP-67(改)</t>
        </is>
      </c>
      <c r="B149" s="41" t="inlineStr">
        <is>
          <t>GET</t>
        </is>
      </c>
      <c r="C149" s="41" t="inlineStr">
        <is>
          <t>/api/meetings/[id]/brief</t>
        </is>
      </c>
      <c r="D149" s="41" t="inlineStr">
        <is>
          <t>縮退版/完全版の段階提供(F-S4-4)</t>
        </is>
      </c>
      <c r="E149" s="41" t="inlineStr">
        <is>
          <t>-</t>
        </is>
      </c>
      <c r="F149" s="41" t="inlineStr">
        <is>
          <t>{brief: {version: 'degraded'|'full', generated_at, content}}</t>
        </is>
      </c>
      <c r="G149" s="41" t="inlineStr">
        <is>
          <t>Auth</t>
        </is>
      </c>
      <c r="H149" s="41" t="inlineStr">
        <is>
          <t>-</t>
        </is>
      </c>
      <c r="I149" s="41" t="inlineStr">
        <is>
          <t>P2</t>
        </is>
      </c>
    </row>
    <row r="150">
      <c r="A150" s="41" t="inlineStr">
        <is>
          <t>AP-72(改)</t>
        </is>
      </c>
      <c r="B150" s="41" t="inlineStr">
        <is>
          <t>GET</t>
        </is>
      </c>
      <c r="C150" s="41" t="inlineStr">
        <is>
          <t>/api/support/quick-search</t>
        </is>
      </c>
      <c r="D150" s="41" t="inlineStr">
        <is>
          <t>customer_id必須高速パス(F-S6-1)+前30s/ヒット/後15sスニペット(F-S6-3)</t>
        </is>
      </c>
      <c r="E150" s="41" t="inlineStr">
        <is>
          <t>?customer_id=&amp;q=&amp;speaker_filter=</t>
        </is>
      </c>
      <c r="F150" s="41" t="inlineStr">
        <is>
          <t>{utterances_top3: [{...,context_pre_30s, hit, context_post_15s}], former_employee_utterance_count}</t>
        </is>
      </c>
      <c r="G150" s="41" t="inlineStr">
        <is>
          <t>Auth</t>
        </is>
      </c>
      <c r="H150" s="41" t="inlineStr">
        <is>
          <t>-</t>
        </is>
      </c>
      <c r="I150" s="41" t="inlineStr">
        <is>
          <t>P2</t>
        </is>
      </c>
    </row>
    <row r="151">
      <c r="A151" s="41" t="inlineStr">
        <is>
          <t>AP-95(改)</t>
        </is>
      </c>
      <c r="B151" s="41" t="inlineStr">
        <is>
          <t>POST</t>
        </is>
      </c>
      <c r="C151" s="41" t="inlineStr">
        <is>
          <t>/api/chat</t>
        </is>
      </c>
      <c r="D151" s="41" t="inlineStr">
        <is>
          <t>SSE event:progress(F-S7-1)+citations完全形(F-S13-1)</t>
        </is>
      </c>
      <c r="E151" s="41" t="inlineStr">
        <is>
          <t>{question}</t>
        </is>
      </c>
      <c r="F151" s="41" t="inlineStr">
        <is>
          <t>SSE: token / source(meeting_id+segment_id+t_start_ms+t_end_ms) / progress(eta_sec, stage) / done / error</t>
        </is>
      </c>
      <c r="G151" s="41" t="inlineStr">
        <is>
          <t>Auth</t>
        </is>
      </c>
      <c r="H151" s="41" t="inlineStr">
        <is>
          <t>-</t>
        </is>
      </c>
      <c r="I151" s="41" t="inlineStr">
        <is>
          <t>P3</t>
        </is>
      </c>
    </row>
    <row r="152">
      <c r="A152" s="41" t="inlineStr">
        <is>
          <t>AP-94(改)</t>
        </is>
      </c>
      <c r="B152" s="41" t="inlineStr">
        <is>
          <t>GET</t>
        </is>
      </c>
      <c r="C152" s="41" t="inlineStr">
        <is>
          <t>/api/search</t>
        </is>
      </c>
      <c r="D152" s="41" t="inlineStr">
        <is>
          <t>exclude_deprecated default=true(F-S13-2)+speaker_status pending含む(F-S13-4)</t>
        </is>
      </c>
      <c r="E152" s="41" t="inlineStr">
        <is>
          <t>?q=&amp;speaker_filter=&amp;from=&amp;to=&amp;exclude_deprecated=true</t>
        </is>
      </c>
      <c r="F152" s="41" t="inlineStr">
        <is>
          <t>{results:[{...,speaker_status:'confirmed'|'pending'}], ranking_explain, did_you_mean[]}</t>
        </is>
      </c>
      <c r="G152" s="41" t="inlineStr">
        <is>
          <t>Auth</t>
        </is>
      </c>
      <c r="H152" s="41" t="inlineStr">
        <is>
          <t>-</t>
        </is>
      </c>
      <c r="I152" s="41" t="inlineStr">
        <is>
          <t>P1</t>
        </is>
      </c>
    </row>
    <row r="153">
      <c r="A153" s="41" t="inlineStr">
        <is>
          <t>AP-96(改)</t>
        </is>
      </c>
      <c r="B153" s="41" t="inlineStr">
        <is>
          <t>GET</t>
        </is>
      </c>
      <c r="C153" s="41" t="inlineStr">
        <is>
          <t>/api/exports/personal</t>
        </is>
      </c>
      <c r="D153" s="41" t="inlineStr">
        <is>
          <t>対象種別+パスフレーズ二経路(F-UX-3)</t>
        </is>
      </c>
      <c r="E153" s="41" t="inlineStr">
        <is>
          <t>?include_recordings_audio=&amp;include_recordings_video=&amp;include_voice_memos=&amp;passphrase_channel='sms'|'alt_email'&amp;alt_email=&amp;alt_phone=</t>
        </is>
      </c>
      <c r="F153" s="41" t="inlineStr">
        <is>
          <t>{job_id}</t>
        </is>
      </c>
      <c r="G153" s="41" t="inlineStr">
        <is>
          <t>Auth</t>
        </is>
      </c>
      <c r="H153" s="41" t="inlineStr">
        <is>
          <t>-</t>
        </is>
      </c>
      <c r="I153" s="41" t="inlineStr">
        <is>
          <t>P3</t>
        </is>
      </c>
    </row>
    <row r="154">
      <c r="A154" s="41" t="inlineStr">
        <is>
          <t>AP-107(改)</t>
        </is>
      </c>
      <c r="B154" s="41" t="inlineStr">
        <is>
          <t>POST</t>
        </is>
      </c>
      <c r="C154" s="41" t="inlineStr">
        <is>
          <t>/api/meetings/[id]/share-safe-clip</t>
        </is>
      </c>
      <c r="D154" s="41" t="inlineStr">
        <is>
          <t>拒否時deny_reason付与(F-S6-4)+audience selector(F-S5-3)</t>
        </is>
      </c>
      <c r="E154" s="41" t="inlineStr">
        <is>
          <t>{start,end,audience: 'internal'|'customer'|'legal'|'external_partner', exclude_internal=true, exclude_sensitive=true}</t>
        </is>
      </c>
      <c r="F154" s="41" t="inlineStr">
        <is>
          <t>{share_token, preview_url} | {error, deny_reason: 'sensitive_segment'|'pii_detected'|'former_employee_speech', approval_request_url}</t>
        </is>
      </c>
      <c r="G154" s="41" t="inlineStr">
        <is>
          <t>Auth</t>
        </is>
      </c>
      <c r="H154" s="41" t="inlineStr">
        <is>
          <t>-</t>
        </is>
      </c>
      <c r="I154" s="41" t="inlineStr">
        <is>
          <t>P2</t>
        </is>
      </c>
    </row>
    <row r="155">
      <c r="A155" s="41" t="inlineStr">
        <is>
          <t>AP-125</t>
        </is>
      </c>
      <c r="B155" s="41" t="inlineStr">
        <is>
          <t>POST</t>
        </is>
      </c>
      <c r="C155" s="41" t="inlineStr">
        <is>
          <t>/api/admin/audit-evidence/generate</t>
        </is>
      </c>
      <c r="D155" s="41" t="inlineStr">
        <is>
          <t>監査エビデンスパック自動生成(F-S10-2)</t>
        </is>
      </c>
      <c r="E155" s="41" t="inlineStr">
        <is>
          <t>{period:'YYYY-MM'}</t>
        </is>
      </c>
      <c r="F155" s="41" t="inlineStr">
        <is>
          <t>{pdf_url, sha256, gpg_signature_url, contents_summary}</t>
        </is>
      </c>
      <c r="G155" s="41" t="inlineStr">
        <is>
          <t>Auth(admin)+MFA</t>
        </is>
      </c>
      <c r="H155" s="41" t="inlineStr">
        <is>
          <t>-</t>
        </is>
      </c>
      <c r="I155" s="41" t="inlineStr">
        <is>
          <t>P2</t>
        </is>
      </c>
    </row>
    <row r="156">
      <c r="A156" s="41" t="inlineStr">
        <is>
          <t>AP-126</t>
        </is>
      </c>
      <c r="B156" s="41" t="inlineStr">
        <is>
          <t>GET</t>
        </is>
      </c>
      <c r="C156" s="41" t="inlineStr">
        <is>
          <t>/api/admin/external-usage-export</t>
        </is>
      </c>
      <c r="D156" s="41" t="inlineStr">
        <is>
          <t>外部委託送信ログ(F-S10-5)</t>
        </is>
      </c>
      <c r="E156" s="41" t="inlineStr">
        <is>
          <t>?org_id=&amp;period=&amp;vendor=</t>
        </is>
      </c>
      <c r="F156" s="41" t="inlineStr">
        <is>
          <t>{export_url}</t>
        </is>
      </c>
      <c r="G156" s="41" t="inlineStr">
        <is>
          <t>Auth(admin+legal dual)</t>
        </is>
      </c>
      <c r="H156" s="41" t="inlineStr">
        <is>
          <t>-</t>
        </is>
      </c>
      <c r="I156" s="41" t="inlineStr">
        <is>
          <t>P3</t>
        </is>
      </c>
    </row>
    <row r="157">
      <c r="A157" s="41" t="inlineStr">
        <is>
          <t>AP-127</t>
        </is>
      </c>
      <c r="B157" s="41" t="inlineStr">
        <is>
          <t>GET</t>
        </is>
      </c>
      <c r="C157" s="41" t="inlineStr">
        <is>
          <t>/api/admin/cost-actuals</t>
        </is>
      </c>
      <c r="D157" s="41" t="inlineStr">
        <is>
          <t>コスト実績(F-S10-4)</t>
        </is>
      </c>
      <c r="E157" s="41" t="inlineStr">
        <is>
          <t>?scope=user|team|feature&amp;period=</t>
        </is>
      </c>
      <c r="F157" s="41" t="inlineStr">
        <is>
          <t>{actuals[], top_over_cap[]}</t>
        </is>
      </c>
      <c r="G157" s="41" t="inlineStr">
        <is>
          <t>Auth(admin)</t>
        </is>
      </c>
      <c r="H157" s="41" t="inlineStr">
        <is>
          <t>-</t>
        </is>
      </c>
      <c r="I157" s="41" t="inlineStr">
        <is>
          <t>P2</t>
        </is>
      </c>
    </row>
    <row r="158">
      <c r="A158" s="41" t="inlineStr">
        <is>
          <t>AP-128</t>
        </is>
      </c>
      <c r="B158" s="41" t="inlineStr">
        <is>
          <t>POST</t>
        </is>
      </c>
      <c r="C158" s="41" t="inlineStr">
        <is>
          <t>/api/admin/anomalies/[id]/acknowledge</t>
        </is>
      </c>
      <c r="D158" s="41" t="inlineStr">
        <is>
          <t>行動異常本人確認(F-S8-4)</t>
        </is>
      </c>
      <c r="E158" s="41" t="inlineStr">
        <is>
          <t>{by_user:true}</t>
        </is>
      </c>
      <c r="F158" s="41" t="inlineStr">
        <is>
          <t>{ok}</t>
        </is>
      </c>
      <c r="G158" s="41" t="inlineStr">
        <is>
          <t>Auth</t>
        </is>
      </c>
      <c r="H158" s="41" t="inlineStr">
        <is>
          <t>-</t>
        </is>
      </c>
      <c r="I158" s="41" t="inlineStr">
        <is>
          <t>P3</t>
        </is>
      </c>
    </row>
    <row r="159">
      <c r="A159" s="41" t="inlineStr">
        <is>
          <t>AP-129</t>
        </is>
      </c>
      <c r="B159" s="41" t="inlineStr">
        <is>
          <t>POST</t>
        </is>
      </c>
      <c r="C159" s="41" t="inlineStr">
        <is>
          <t>/api/dr/restore-request</t>
        </is>
      </c>
      <c r="D159" s="41" t="inlineStr">
        <is>
          <t>PITR管理者セルフサービス(F-S10-1)</t>
        </is>
      </c>
      <c r="E159" s="41" t="inlineStr">
        <is>
          <t>{point_in_time, scope, reason}</t>
        </is>
      </c>
      <c r="F159" s="41" t="inlineStr">
        <is>
          <t>{request_id, dual_approval_required:true}</t>
        </is>
      </c>
      <c r="G159" s="41" t="inlineStr">
        <is>
          <t>Auth(admin)</t>
        </is>
      </c>
      <c r="H159" s="41" t="inlineStr">
        <is>
          <t>-</t>
        </is>
      </c>
      <c r="I159" s="41" t="inlineStr">
        <is>
          <t>P3</t>
        </is>
      </c>
    </row>
    <row r="160">
      <c r="A160" s="41" t="inlineStr">
        <is>
          <t>AP-130</t>
        </is>
      </c>
      <c r="B160" s="41" t="inlineStr">
        <is>
          <t>POST</t>
        </is>
      </c>
      <c r="C160" s="41" t="inlineStr">
        <is>
          <t>/api/dr/restore-request/[id]/approve</t>
        </is>
      </c>
      <c r="D160" s="41" t="inlineStr">
        <is>
          <t>PITR承認</t>
        </is>
      </c>
      <c r="E160" s="41" t="inlineStr">
        <is>
          <t>{approver_id}</t>
        </is>
      </c>
      <c r="F160" s="41" t="inlineStr">
        <is>
          <t>{ok, eta_sec}</t>
        </is>
      </c>
      <c r="G160" s="41" t="inlineStr">
        <is>
          <t>Auth(admin/legal)+MFA</t>
        </is>
      </c>
      <c r="H160" s="41" t="inlineStr">
        <is>
          <t>-</t>
        </is>
      </c>
      <c r="I160" s="41" t="inlineStr">
        <is>
          <t>P3</t>
        </is>
      </c>
    </row>
    <row r="161">
      <c r="A161" s="41" t="inlineStr">
        <is>
          <t>AP-131</t>
        </is>
      </c>
      <c r="B161" s="41" t="inlineStr">
        <is>
          <t>GET</t>
        </is>
      </c>
      <c r="C161" s="41" t="inlineStr">
        <is>
          <t>/api/contacts/unreviewed-count</t>
        </is>
      </c>
      <c r="D161" s="41" t="inlineStr">
        <is>
          <t>未レビュー名刺件数(F-S1-2)</t>
        </is>
      </c>
      <c r="E161" s="41" t="inlineStr">
        <is>
          <t>-</t>
        </is>
      </c>
      <c r="F161" s="41" t="inlineStr">
        <is>
          <t>{count, oldest_at}</t>
        </is>
      </c>
      <c r="G161" s="41" t="inlineStr">
        <is>
          <t>Auth</t>
        </is>
      </c>
      <c r="H161" s="41" t="inlineStr">
        <is>
          <t>-</t>
        </is>
      </c>
      <c r="I161" s="41" t="inlineStr">
        <is>
          <t>P1</t>
        </is>
      </c>
    </row>
    <row r="162">
      <c r="A162" s="41" t="inlineStr">
        <is>
          <t>AP-132</t>
        </is>
      </c>
      <c r="B162" s="41" t="inlineStr">
        <is>
          <t>POST</t>
        </is>
      </c>
      <c r="C162" s="41" t="inlineStr">
        <is>
          <t>/api/voice-memos/[id]/segments</t>
        </is>
      </c>
      <c r="D162" s="41" t="inlineStr">
        <is>
          <t>録音中断/再開セグメント追加(F-S14-2)</t>
        </is>
      </c>
      <c r="E162" s="41" t="inlineStr">
        <is>
          <t>{segment_index, audio_chunk_id}</t>
        </is>
      </c>
      <c r="F162" s="41" t="inlineStr">
        <is>
          <t>{combined:true|false}</t>
        </is>
      </c>
      <c r="G162" s="41" t="inlineStr">
        <is>
          <t>Auth</t>
        </is>
      </c>
      <c r="H162" s="41" t="inlineStr">
        <is>
          <t>-</t>
        </is>
      </c>
      <c r="I162" s="41" t="inlineStr">
        <is>
          <t>P2</t>
        </is>
      </c>
    </row>
    <row r="163">
      <c r="A163" s="41" t="inlineStr">
        <is>
          <t>AP-133</t>
        </is>
      </c>
      <c r="B163" s="41" t="inlineStr">
        <is>
          <t>POST</t>
        </is>
      </c>
      <c r="C163" s="41" t="inlineStr">
        <is>
          <t>/api/notifications/dispatch</t>
        </is>
      </c>
      <c r="D163" s="41" t="inlineStr">
        <is>
          <t>重複抑制ロジック適用(F-UX-4)</t>
        </is>
      </c>
      <c r="E163" s="41" t="inlineStr">
        <is>
          <t>{event_id, user_id, kind, payload}</t>
        </is>
      </c>
      <c r="F163" s="41" t="inlineStr">
        <is>
          <t>{dispatched_channels[], suppressed_channels[]}</t>
        </is>
      </c>
      <c r="G163" s="41" t="inlineStr">
        <is>
          <t>Auth(service)</t>
        </is>
      </c>
      <c r="H163" s="41" t="inlineStr">
        <is>
          <t>-</t>
        </is>
      </c>
      <c r="I163" s="41" t="inlineStr">
        <is>
          <t>P2</t>
        </is>
      </c>
    </row>
    <row r="164">
      <c r="A164" s="41" t="inlineStr">
        <is>
          <t>AP-134</t>
        </is>
      </c>
      <c r="B164" s="41" t="inlineStr">
        <is>
          <t>GET</t>
        </is>
      </c>
      <c r="C164" s="41" t="inlineStr">
        <is>
          <t>/api/admin/handoffs/sla-breaches</t>
        </is>
      </c>
      <c r="D164" s="41" t="inlineStr">
        <is>
          <t>handoff SLA違反一覧(F-S9-1)</t>
        </is>
      </c>
      <c r="E164" s="41" t="inlineStr">
        <is>
          <t>-</t>
        </is>
      </c>
      <c r="F164" s="41" t="inlineStr">
        <is>
          <t>{breaches:[{handoff_id, owner, hours_overdue}]}</t>
        </is>
      </c>
      <c r="G164" s="41" t="inlineStr">
        <is>
          <t>Auth(manager)</t>
        </is>
      </c>
      <c r="H164" s="41" t="inlineStr">
        <is>
          <t>-</t>
        </is>
      </c>
      <c r="I164" s="41" t="inlineStr">
        <is>
          <t>P2</t>
        </is>
      </c>
    </row>
    <row r="165">
      <c r="A165" s="41" t="inlineStr">
        <is>
          <t>AP-135</t>
        </is>
      </c>
      <c r="B165" s="41" t="inlineStr">
        <is>
          <t>POST</t>
        </is>
      </c>
      <c r="C165" s="41" t="inlineStr">
        <is>
          <t>/api/admin/handoffs/[id]/escalate</t>
        </is>
      </c>
      <c r="D165" s="41" t="inlineStr">
        <is>
          <t>上長cc/強制割当(F-S9-1)</t>
        </is>
      </c>
      <c r="E165" s="41" t="inlineStr">
        <is>
          <t>{action:'cc_supervisor'|'force_assign', target_user_id?}</t>
        </is>
      </c>
      <c r="F165" s="41" t="inlineStr">
        <is>
          <t>{ok}</t>
        </is>
      </c>
      <c r="G165" s="41" t="inlineStr">
        <is>
          <t>Auth(manager)</t>
        </is>
      </c>
      <c r="H165" s="41" t="inlineStr">
        <is>
          <t>-</t>
        </is>
      </c>
      <c r="I165" s="41" t="inlineStr">
        <is>
          <t>P2</t>
        </is>
      </c>
    </row>
    <row r="166">
      <c r="A166" s="41" t="inlineStr">
        <is>
          <t>AP-136</t>
        </is>
      </c>
      <c r="B166" s="41" t="inlineStr">
        <is>
          <t>POST</t>
        </is>
      </c>
      <c r="C166" s="41" t="inlineStr">
        <is>
          <t>/api/transcript-anchors</t>
        </is>
      </c>
      <c r="D166" s="41" t="inlineStr">
        <is>
          <t>録画箇所×資料/コミット紐付け(F-S9-4)</t>
        </is>
      </c>
      <c r="E166" s="41" t="inlineStr">
        <is>
          <t>{recording_segment_id, artifact_kind, artifact_id}</t>
        </is>
      </c>
      <c r="F166" s="41" t="inlineStr">
        <is>
          <t>{anchor_id}</t>
        </is>
      </c>
      <c r="G166" s="41" t="inlineStr">
        <is>
          <t>Auth</t>
        </is>
      </c>
      <c r="H166" s="41" t="inlineStr">
        <is>
          <t>-</t>
        </is>
      </c>
      <c r="I166" s="41" t="inlineStr">
        <is>
          <t>P2</t>
        </is>
      </c>
    </row>
    <row r="167">
      <c r="A167" s="41" t="inlineStr">
        <is>
          <t>AP-137</t>
        </is>
      </c>
      <c r="B167" s="41" t="inlineStr">
        <is>
          <t>GET</t>
        </is>
      </c>
      <c r="C167" s="41" t="inlineStr">
        <is>
          <t>/api/recordings/[id]/derived-status</t>
        </is>
      </c>
      <c r="D167" s="41" t="inlineStr">
        <is>
          <t>派生成果物のstaleness(F-S5-1)</t>
        </is>
      </c>
      <c r="E167" s="41" t="inlineStr">
        <is>
          <t>-</t>
        </is>
      </c>
      <c r="F167" s="41" t="inlineStr">
        <is>
          <t>{summary_v, handoff_v, embeddings_v, regen_pending_kinds[], last_edit_at}</t>
        </is>
      </c>
      <c r="G167" s="41" t="inlineStr">
        <is>
          <t>Auth</t>
        </is>
      </c>
      <c r="H167" s="41" t="inlineStr">
        <is>
          <t>-</t>
        </is>
      </c>
      <c r="I167" s="41" t="inlineStr">
        <is>
          <t>P2</t>
        </is>
      </c>
    </row>
    <row r="168">
      <c r="A168" s="41" t="inlineStr">
        <is>
          <t>AP-138</t>
        </is>
      </c>
      <c r="B168" s="41" t="inlineStr">
        <is>
          <t>POST</t>
        </is>
      </c>
      <c r="C168" s="41" t="inlineStr">
        <is>
          <t>/api/onboarding/sample-mode</t>
        </is>
      </c>
      <c r="D168" s="41" t="inlineStr">
        <is>
          <t>新人パス『見るだけ』モード(F-S12-3)</t>
        </is>
      </c>
      <c r="E168" s="41" t="inlineStr">
        <is>
          <t>{step5_view_only:true}</t>
        </is>
      </c>
      <c r="F168" s="41" t="inlineStr">
        <is>
          <t>{ok}</t>
        </is>
      </c>
      <c r="G168" s="41" t="inlineStr">
        <is>
          <t>Auth</t>
        </is>
      </c>
      <c r="H168" s="41" t="inlineStr">
        <is>
          <t>-</t>
        </is>
      </c>
      <c r="I168" s="41" t="inlineStr">
        <is>
          <t>P3</t>
        </is>
      </c>
    </row>
    <row r="169">
      <c r="A169" s="41" t="inlineStr">
        <is>
          <t>AP-139</t>
        </is>
      </c>
      <c r="B169" s="41" t="inlineStr">
        <is>
          <t>POST</t>
        </is>
      </c>
      <c r="C169" s="41" t="inlineStr">
        <is>
          <t>/api/admin/import-templates/test</t>
        </is>
      </c>
      <c r="D169" s="41" t="inlineStr">
        <is>
          <t>インポート前のmappingテスト(F-S12-2)</t>
        </is>
      </c>
      <c r="E169" s="41" t="inlineStr">
        <is>
          <t>{file_id, dedupe_keys[]}</t>
        </is>
      </c>
      <c r="F169" s="41" t="inlineStr">
        <is>
          <t>{preview, dupes_found, errors[]}</t>
        </is>
      </c>
      <c r="G169" s="41" t="inlineStr">
        <is>
          <t>Auth</t>
        </is>
      </c>
      <c r="H169" s="41" t="inlineStr">
        <is>
          <t>-</t>
        </is>
      </c>
      <c r="I169" s="41" t="inlineStr">
        <is>
          <t>P2</t>
        </is>
      </c>
    </row>
    <row r="170">
      <c r="A170" s="41" t="inlineStr">
        <is>
          <t>AP-140</t>
        </is>
      </c>
      <c r="B170" s="41" t="inlineStr">
        <is>
          <t>POST</t>
        </is>
      </c>
      <c r="C170" s="41" t="inlineStr">
        <is>
          <t>/api/admin/audit-chain-incidents/[id]/close</t>
        </is>
      </c>
      <c r="D170" s="41" t="inlineStr">
        <is>
          <t>チェーン破断クローズ(F-S10-3)</t>
        </is>
      </c>
      <c r="E170" s="41" t="inlineStr">
        <is>
          <t>{rca_url, dual_approver_id}</t>
        </is>
      </c>
      <c r="F170" s="41" t="inlineStr">
        <is>
          <t>{ok}</t>
        </is>
      </c>
      <c r="G170" s="41" t="inlineStr">
        <is>
          <t>Auth(admin)+dual approval</t>
        </is>
      </c>
      <c r="H170" s="41" t="inlineStr">
        <is>
          <t>-</t>
        </is>
      </c>
      <c r="I170" s="41" t="inlineStr">
        <is>
          <t>P2</t>
        </is>
      </c>
    </row>
    <row r="172">
      <c r="A172" s="41" t="inlineStr">
        <is>
          <t>■ v2.4 追加API(再シミュ残課題)</t>
        </is>
      </c>
      <c r="B172" s="41" t="n"/>
      <c r="C172" s="41" t="n"/>
      <c r="D172" s="41" t="n"/>
      <c r="E172" s="41" t="n"/>
      <c r="F172" s="41" t="n"/>
      <c r="G172" s="41" t="n"/>
      <c r="H172" s="41" t="n"/>
      <c r="I172" s="41" t="n"/>
    </row>
    <row r="173">
      <c r="A173" s="41" t="inlineStr">
        <is>
          <t>ID</t>
        </is>
      </c>
      <c r="B173" s="41" t="inlineStr">
        <is>
          <t>メソッド</t>
        </is>
      </c>
      <c r="C173" s="41" t="inlineStr">
        <is>
          <t>パス</t>
        </is>
      </c>
      <c r="D173" s="41" t="inlineStr">
        <is>
          <t>概要</t>
        </is>
      </c>
      <c r="E173" s="41" t="inlineStr">
        <is>
          <t>リクエスト</t>
        </is>
      </c>
      <c r="F173" s="41" t="inlineStr">
        <is>
          <t>レスポンス</t>
        </is>
      </c>
      <c r="G173" s="41" t="inlineStr">
        <is>
          <t>認証</t>
        </is>
      </c>
      <c r="H173" s="41" t="inlineStr">
        <is>
          <t>エラー</t>
        </is>
      </c>
      <c r="I173" s="41" t="inlineStr">
        <is>
          <t>Phase</t>
        </is>
      </c>
    </row>
    <row r="174">
      <c r="A174" s="41" t="inlineStr">
        <is>
          <t>AP-64(改v2.4)</t>
        </is>
      </c>
      <c r="B174" s="41" t="inlineStr">
        <is>
          <t>POST</t>
        </is>
      </c>
      <c r="C174" s="41" t="inlineStr">
        <is>
          <t>/api/scheduling/parse</t>
        </is>
      </c>
      <c r="D174" s="41" t="inlineStr">
        <is>
          <t>required_followup_fields返却(NF-S3-1)</t>
        </is>
      </c>
      <c r="E174" s="41" t="inlineStr">
        <is>
          <t>{message_id}</t>
        </is>
      </c>
      <c r="F174" s="41" t="inlineStr">
        <is>
          <t>{intent, slots, suggested_action, required_followup_fields:['address','phone','company']}</t>
        </is>
      </c>
      <c r="G174" s="41" t="inlineStr">
        <is>
          <t>Auth</t>
        </is>
      </c>
      <c r="H174" s="41" t="inlineStr">
        <is>
          <t>-</t>
        </is>
      </c>
      <c r="I174" s="41" t="inlineStr">
        <is>
          <t>P2</t>
        </is>
      </c>
    </row>
    <row r="175">
      <c r="A175" s="41" t="inlineStr">
        <is>
          <t>AP-129(改v2.4)</t>
        </is>
      </c>
      <c r="B175" s="41" t="inlineStr">
        <is>
          <t>POST</t>
        </is>
      </c>
      <c r="C175" s="41" t="inlineStr">
        <is>
          <t>/api/dr/restore-request</t>
        </is>
      </c>
      <c r="D175" s="41" t="inlineStr">
        <is>
          <t>RTO/RPO/eta返却(NF-S10-1)</t>
        </is>
      </c>
      <c r="E175" s="41" t="inlineStr">
        <is>
          <t>{point_in_time,scope,reason}</t>
        </is>
      </c>
      <c r="F175" s="41" t="inlineStr">
        <is>
          <t>{request_id, dual_approval_required:true, rto_min, rpo_min, queue_eta_min}</t>
        </is>
      </c>
      <c r="G175" s="41" t="inlineStr">
        <is>
          <t>Auth(admin)</t>
        </is>
      </c>
      <c r="H175" s="41" t="inlineStr">
        <is>
          <t>-</t>
        </is>
      </c>
      <c r="I175" s="41" t="inlineStr">
        <is>
          <t>P3</t>
        </is>
      </c>
    </row>
    <row r="176">
      <c r="A176" s="41" t="inlineStr">
        <is>
          <t>AP-139(改v2.4)</t>
        </is>
      </c>
      <c r="B176" s="41" t="inlineStr">
        <is>
          <t>POST</t>
        </is>
      </c>
      <c r="C176" s="41" t="inlineStr">
        <is>
          <t>/api/voice-memos/[id]/translate</t>
        </is>
      </c>
      <c r="D176" s="41" t="inlineStr">
        <is>
          <t>オンザフライ翻訳(NF-UX-1)</t>
        </is>
      </c>
      <c r="E176" s="41" t="inlineStr">
        <is>
          <t>{target_locale, translator?:'anthropic'|'deepl'}</t>
        </is>
      </c>
      <c r="F176" s="41" t="inlineStr">
        <is>
          <t>{translation_id, text, quality_disclaimer}</t>
        </is>
      </c>
      <c r="G176" s="41" t="inlineStr">
        <is>
          <t>Auth or shared token</t>
        </is>
      </c>
      <c r="H176" s="41" t="inlineStr">
        <is>
          <t>-</t>
        </is>
      </c>
      <c r="I176" s="41" t="inlineStr">
        <is>
          <t>P3</t>
        </is>
      </c>
    </row>
    <row r="177">
      <c r="A177" s="41" t="inlineStr">
        <is>
          <t>AP-141</t>
        </is>
      </c>
      <c r="B177" s="41" t="inlineStr">
        <is>
          <t>POST</t>
        </is>
      </c>
      <c r="C177" s="41" t="inlineStr">
        <is>
          <t>/api/admin/deletion-requests/[id]/legal-hold-override</t>
        </is>
      </c>
      <c r="D177" s="41" t="inlineStr">
        <is>
          <t>3者承認(F-S11-3再)</t>
        </is>
      </c>
      <c r="E177" s="41" t="inlineStr">
        <is>
          <t>{role:'legal'|'it'|'representative', approver_id, reason}</t>
        </is>
      </c>
      <c r="F177" s="41" t="inlineStr">
        <is>
          <t>{ok, chain_status}</t>
        </is>
      </c>
      <c r="G177" s="41" t="inlineStr">
        <is>
          <t>Auth+role-specific MFA</t>
        </is>
      </c>
      <c r="H177" s="41" t="inlineStr">
        <is>
          <t>-</t>
        </is>
      </c>
      <c r="I177" s="41" t="inlineStr">
        <is>
          <t>P2</t>
        </is>
      </c>
    </row>
    <row r="178">
      <c r="A178" s="41" t="inlineStr">
        <is>
          <t>AP-142</t>
        </is>
      </c>
      <c r="B178" s="41" t="inlineStr">
        <is>
          <t>POST</t>
        </is>
      </c>
      <c r="C178" s="41" t="inlineStr">
        <is>
          <t>/api/admin/import-dlq/[id]/retry</t>
        </is>
      </c>
      <c r="D178" s="41" t="inlineStr">
        <is>
          <t>DLQ再実行(F-S14-4再)</t>
        </is>
      </c>
      <c r="E178" s="41" t="inlineStr">
        <is>
          <t>-</t>
        </is>
      </c>
      <c r="F178" s="41" t="inlineStr">
        <is>
          <t>{job_id}</t>
        </is>
      </c>
      <c r="G178" s="41" t="inlineStr">
        <is>
          <t>Auth(admin)</t>
        </is>
      </c>
      <c r="H178" s="41" t="inlineStr">
        <is>
          <t>-</t>
        </is>
      </c>
      <c r="I178" s="41" t="inlineStr">
        <is>
          <t>P3</t>
        </is>
      </c>
    </row>
    <row r="179">
      <c r="A179" s="41" t="inlineStr">
        <is>
          <t>AP-143</t>
        </is>
      </c>
      <c r="B179" s="41" t="inlineStr">
        <is>
          <t>POST</t>
        </is>
      </c>
      <c r="C179" s="41" t="inlineStr">
        <is>
          <t>/api/users/away-mark</t>
        </is>
      </c>
      <c r="D179" s="41" t="inlineStr">
        <is>
          <t>手動awayトグル(NF-S2-1)</t>
        </is>
      </c>
      <c r="E179" s="41" t="inlineStr">
        <is>
          <t>{from,until,reason?}</t>
        </is>
      </c>
      <c r="F179" s="41" t="inlineStr">
        <is>
          <t>{ok}</t>
        </is>
      </c>
      <c r="G179" s="41" t="inlineStr">
        <is>
          <t>Auth</t>
        </is>
      </c>
      <c r="H179" s="41" t="inlineStr">
        <is>
          <t>-</t>
        </is>
      </c>
      <c r="I179" s="41" t="inlineStr">
        <is>
          <t>P2</t>
        </is>
      </c>
    </row>
    <row r="180">
      <c r="A180" s="41" t="inlineStr">
        <is>
          <t>AP-144</t>
        </is>
      </c>
      <c r="B180" s="41" t="inlineStr">
        <is>
          <t>POST</t>
        </is>
      </c>
      <c r="C180" s="41" t="inlineStr">
        <is>
          <t>/api/admin/contract-taxonomy</t>
        </is>
      </c>
      <c r="D180" s="41" t="inlineStr">
        <is>
          <t>taxonomy追加申請(NF-S9-1)</t>
        </is>
      </c>
      <c r="E180" s="41" t="inlineStr">
        <is>
          <t>{term_kind,description}</t>
        </is>
      </c>
      <c r="F180" s="41" t="inlineStr">
        <is>
          <t>{taxonomy_id,status:'proposed'}</t>
        </is>
      </c>
      <c r="G180" s="41" t="inlineStr">
        <is>
          <t>Auth</t>
        </is>
      </c>
      <c r="H180" s="41" t="inlineStr">
        <is>
          <t>-</t>
        </is>
      </c>
      <c r="I180" s="41" t="inlineStr">
        <is>
          <t>P3</t>
        </is>
      </c>
    </row>
    <row r="181">
      <c r="A181" s="41" t="inlineStr">
        <is>
          <t>AP-145</t>
        </is>
      </c>
      <c r="B181" s="41" t="inlineStr">
        <is>
          <t>POST</t>
        </is>
      </c>
      <c r="C181" s="41" t="inlineStr">
        <is>
          <t>/api/admin/contract-taxonomy/[id]/approve</t>
        </is>
      </c>
      <c r="D181" s="41" t="inlineStr">
        <is>
          <t>taxonomy承認</t>
        </is>
      </c>
      <c r="E181" s="41" t="inlineStr">
        <is>
          <t>{role:'legal'|'admin'}</t>
        </is>
      </c>
      <c r="F181" s="41" t="inlineStr">
        <is>
          <t>{ok,status}</t>
        </is>
      </c>
      <c r="G181" s="41" t="inlineStr">
        <is>
          <t>Auth(role)+MFA</t>
        </is>
      </c>
      <c r="H181" s="41" t="inlineStr">
        <is>
          <t>-</t>
        </is>
      </c>
      <c r="I181" s="41" t="inlineStr">
        <is>
          <t>P3</t>
        </is>
      </c>
    </row>
    <row r="182">
      <c r="A182" s="41" t="inlineStr">
        <is>
          <t>AP-146</t>
        </is>
      </c>
      <c r="B182" s="41" t="inlineStr">
        <is>
          <t>POST</t>
        </is>
      </c>
      <c r="C182" s="41" t="inlineStr">
        <is>
          <t>/api/roleplay/consent</t>
        </is>
      </c>
      <c r="D182" s="41" t="inlineStr">
        <is>
          <t>コーチ共有同意(F-S7-4再)</t>
        </is>
      </c>
      <c r="E182" s="41" t="inlineStr">
        <is>
          <t>{coach_share,scope}</t>
        </is>
      </c>
      <c r="F182" s="41" t="inlineStr">
        <is>
          <t>{ok}</t>
        </is>
      </c>
      <c r="G182" s="41" t="inlineStr">
        <is>
          <t>Auth</t>
        </is>
      </c>
      <c r="H182" s="41" t="inlineStr">
        <is>
          <t>-</t>
        </is>
      </c>
      <c r="I182" s="41" t="inlineStr">
        <is>
          <t>P3</t>
        </is>
      </c>
    </row>
    <row r="183">
      <c r="A183" s="41" t="inlineStr">
        <is>
          <t>AP-147</t>
        </is>
      </c>
      <c r="B183" s="41" t="inlineStr">
        <is>
          <t>GET</t>
        </is>
      </c>
      <c r="C183" s="41" t="inlineStr">
        <is>
          <t>/api/contacts/from-cc-prompt</t>
        </is>
      </c>
      <c r="D183" s="41" t="inlineStr">
        <is>
          <t>未登録CCのcontact化prompt fields(NF-S3-1)</t>
        </is>
      </c>
      <c r="E183" s="41" t="inlineStr">
        <is>
          <t>?meeting_attendee_id=</t>
        </is>
      </c>
      <c r="F183" s="41" t="inlineStr">
        <is>
          <t>{required_fields[]}</t>
        </is>
      </c>
      <c r="G183" s="41" t="inlineStr">
        <is>
          <t>Auth</t>
        </is>
      </c>
      <c r="H183" s="41" t="inlineStr">
        <is>
          <t>-</t>
        </is>
      </c>
      <c r="I183" s="41" t="inlineStr">
        <is>
          <t>P2</t>
        </is>
      </c>
    </row>
    <row r="185">
      <c r="A185" s="41" t="inlineStr">
        <is>
          <t>■ v2.5 追加・改修(R3 minor)</t>
        </is>
      </c>
      <c r="B185" s="41" t="n"/>
      <c r="C185" s="41" t="n"/>
      <c r="D185" s="41" t="n"/>
      <c r="E185" s="41" t="n"/>
      <c r="F185" s="41" t="n"/>
      <c r="G185" s="41" t="n"/>
      <c r="H185" s="41" t="n"/>
      <c r="I185" s="41" t="n"/>
    </row>
    <row r="186">
      <c r="A186" s="41" t="inlineStr">
        <is>
          <t>ID</t>
        </is>
      </c>
      <c r="B186" s="41" t="inlineStr">
        <is>
          <t>メソッド</t>
        </is>
      </c>
      <c r="C186" s="41" t="inlineStr">
        <is>
          <t>パス</t>
        </is>
      </c>
      <c r="D186" s="41" t="inlineStr">
        <is>
          <t>概要</t>
        </is>
      </c>
      <c r="E186" s="41" t="inlineStr">
        <is>
          <t>リクエスト</t>
        </is>
      </c>
      <c r="F186" s="41" t="inlineStr">
        <is>
          <t>レスポンス</t>
        </is>
      </c>
      <c r="G186" s="41" t="inlineStr">
        <is>
          <t>認証</t>
        </is>
      </c>
      <c r="H186" s="41" t="inlineStr">
        <is>
          <t>エラー</t>
        </is>
      </c>
      <c r="I186" s="41" t="inlineStr">
        <is>
          <t>Phase</t>
        </is>
      </c>
    </row>
    <row r="187">
      <c r="A187" s="41" t="inlineStr">
        <is>
          <t>AP-139(改v2.5)</t>
        </is>
      </c>
      <c r="B187" s="41" t="inlineStr">
        <is>
          <t>POST</t>
        </is>
      </c>
      <c r="C187" s="41" t="inlineStr">
        <is>
          <t>/api/voice-memos/[id]/translate</t>
        </is>
      </c>
      <c r="D187" s="41" t="inlineStr">
        <is>
          <t>人手翻訳エスカレ対応(NF3-UX-2)</t>
        </is>
      </c>
      <c r="E187" s="41" t="inlineStr">
        <is>
          <t>{target_locale, translator?}</t>
        </is>
      </c>
      <c r="F187" s="41" t="inlineStr">
        <is>
          <t>{translation_id, text, quality_disclaimer, can_request_human:true, sla_business_days:5}</t>
        </is>
      </c>
      <c r="G187" s="41" t="inlineStr">
        <is>
          <t>Auth or shared token</t>
        </is>
      </c>
      <c r="H187" s="41" t="inlineStr">
        <is>
          <t>-</t>
        </is>
      </c>
      <c r="I187" s="41" t="inlineStr">
        <is>
          <t>P3</t>
        </is>
      </c>
    </row>
    <row r="188">
      <c r="A188" s="41" t="inlineStr">
        <is>
          <t>AP-141(改v2.5)</t>
        </is>
      </c>
      <c r="B188" s="41" t="inlineStr">
        <is>
          <t>POST</t>
        </is>
      </c>
      <c r="C188" s="41" t="inlineStr">
        <is>
          <t>/api/admin/deletion-requests/[id]/legal-hold-override</t>
        </is>
      </c>
      <c r="D188" s="41" t="inlineStr">
        <is>
          <t>代理人KYC追加(NF3-S11-1)</t>
        </is>
      </c>
      <c r="E188" s="41" t="inlineStr">
        <is>
          <t>{role, approver_id, reason, representative_identity_verification_method?, power_of_attorney_doc_url?, representative_id_doc_url?}</t>
        </is>
      </c>
      <c r="F188" s="41" t="inlineStr">
        <is>
          <t>{ok, chain_status}</t>
        </is>
      </c>
      <c r="G188" s="41" t="inlineStr">
        <is>
          <t>Auth+role-specific MFA</t>
        </is>
      </c>
      <c r="H188" s="41" t="inlineStr">
        <is>
          <t>-</t>
        </is>
      </c>
      <c r="I188" s="41" t="inlineStr">
        <is>
          <t>P2</t>
        </is>
      </c>
    </row>
    <row r="189">
      <c r="A189" s="41" t="inlineStr">
        <is>
          <t>AP-146(改v2.5)</t>
        </is>
      </c>
      <c r="B189" s="41" t="inlineStr">
        <is>
          <t>POST</t>
        </is>
      </c>
      <c r="C189" s="41" t="inlineStr">
        <is>
          <t>/api/roleplay/consent</t>
        </is>
      </c>
      <c r="D189" s="41" t="inlineStr">
        <is>
          <t>downgrade時のaffected_clip_count返却(NF3-S7-1)</t>
        </is>
      </c>
      <c r="E189" s="41" t="inlineStr">
        <is>
          <t>{coach_share, scope}</t>
        </is>
      </c>
      <c r="F189" s="41" t="inlineStr">
        <is>
          <t>{ok, downgrade_effects:{affected_clip_count, reencode_job_ids:[]}}</t>
        </is>
      </c>
      <c r="G189" s="41" t="inlineStr">
        <is>
          <t>Auth</t>
        </is>
      </c>
      <c r="H189" s="41" t="inlineStr">
        <is>
          <t>-</t>
        </is>
      </c>
      <c r="I189" s="41" t="inlineStr">
        <is>
          <t>P3</t>
        </is>
      </c>
    </row>
    <row r="190">
      <c r="A190" s="41" t="inlineStr">
        <is>
          <t>AP-148</t>
        </is>
      </c>
      <c r="B190" s="41" t="inlineStr">
        <is>
          <t>POST</t>
        </is>
      </c>
      <c r="C190" s="41" t="inlineStr">
        <is>
          <t>/api/recordings/[id]/regen-now</t>
        </is>
      </c>
      <c r="D190" s="41" t="inlineStr">
        <is>
          <t>debounce手動上書き(NF3-S5-1)</t>
        </is>
      </c>
      <c r="E190" s="41" t="inlineStr">
        <is>
          <t>{kind:'summary'|'handoff'|'embeddings', force:true}</t>
        </is>
      </c>
      <c r="F190" s="41" t="inlineStr">
        <is>
          <t>{job_id, debounce_remaining_sec}</t>
        </is>
      </c>
      <c r="G190" s="41" t="inlineStr">
        <is>
          <t>Auth</t>
        </is>
      </c>
      <c r="H190" s="41" t="inlineStr">
        <is>
          <t>-</t>
        </is>
      </c>
      <c r="I190" s="41" t="inlineStr">
        <is>
          <t>P2</t>
        </is>
      </c>
    </row>
    <row r="191">
      <c r="A191" s="41" t="inlineStr">
        <is>
          <t>AP-149</t>
        </is>
      </c>
      <c r="B191" s="41" t="inlineStr">
        <is>
          <t>POST</t>
        </is>
      </c>
      <c r="C191" s="41" t="inlineStr">
        <is>
          <t>/api/voice-memos/[id]/translate-human</t>
        </is>
      </c>
      <c r="D191" s="41" t="inlineStr">
        <is>
          <t>人手翻訳依頼(NF3-UX-2)</t>
        </is>
      </c>
      <c r="E191" s="41" t="inlineStr">
        <is>
          <t>{target_locale}</t>
        </is>
      </c>
      <c r="F191" s="41" t="inlineStr">
        <is>
          <t>{request_id, eta_at}</t>
        </is>
      </c>
      <c r="G191" s="41" t="inlineStr">
        <is>
          <t>Auth</t>
        </is>
      </c>
      <c r="H191" s="41" t="inlineStr">
        <is>
          <t>-</t>
        </is>
      </c>
      <c r="I191" s="41" t="inlineStr">
        <is>
          <t>P3</t>
        </is>
      </c>
    </row>
    <row r="192">
      <c r="A192" s="41" t="inlineStr">
        <is>
          <t>AP-150</t>
        </is>
      </c>
      <c r="B192" s="41" t="inlineStr">
        <is>
          <t>GET</t>
        </is>
      </c>
      <c r="C192" s="41" t="inlineStr">
        <is>
          <t>/api/admin/import-dlq</t>
        </is>
      </c>
      <c r="D192" s="41" t="inlineStr">
        <is>
          <t>DLQ一覧(NF3-S14-1)</t>
        </is>
      </c>
      <c r="E192" s="41" t="inlineStr">
        <is>
          <t>-</t>
        </is>
      </c>
      <c r="F192" s="41" t="inlineStr">
        <is>
          <t>{items[]}</t>
        </is>
      </c>
      <c r="G192" s="41" t="inlineStr">
        <is>
          <t>Auth(admin)</t>
        </is>
      </c>
      <c r="H192" s="41" t="inlineStr">
        <is>
          <t>-</t>
        </is>
      </c>
      <c r="I192" s="41" t="inlineStr">
        <is>
          <t>P3</t>
        </is>
      </c>
    </row>
    <row r="193">
      <c r="A193" s="41" t="inlineStr">
        <is>
          <t>AP-151</t>
        </is>
      </c>
      <c r="B193" s="41" t="inlineStr">
        <is>
          <t>GET</t>
        </is>
      </c>
      <c r="C193" s="41" t="inlineStr">
        <is>
          <t>/api/dashboard/manager/review-backlog</t>
        </is>
      </c>
      <c r="D193" s="41" t="inlineStr">
        <is>
          <t>マネージャー退避バックログ(NF3-S8-1)</t>
        </is>
      </c>
      <c r="E193" s="41" t="inlineStr">
        <is>
          <t>-</t>
        </is>
      </c>
      <c r="F193" s="41" t="inlineStr">
        <is>
          <t>{by_subordinate:[{user_id,pending,oldest_days}]}</t>
        </is>
      </c>
      <c r="G193" s="41" t="inlineStr">
        <is>
          <t>Auth(manager)</t>
        </is>
      </c>
      <c r="H193" s="41" t="inlineStr">
        <is>
          <t>-</t>
        </is>
      </c>
      <c r="I193" s="41" t="inlineStr">
        <is>
          <t>P3</t>
        </is>
      </c>
    </row>
    <row r="194">
      <c r="A194" s="41" t="inlineStr">
        <is>
          <t>AP-152</t>
        </is>
      </c>
      <c r="B194" s="41" t="inlineStr">
        <is>
          <t>POST</t>
        </is>
      </c>
      <c r="C194" s="41" t="inlineStr">
        <is>
          <t>/api/admin/contract-taxonomy/[id]/migrate</t>
        </is>
      </c>
      <c r="D194" s="41" t="inlineStr">
        <is>
          <t>archive版から代替版へmigration(NF3-S9-1)</t>
        </is>
      </c>
      <c r="E194" s="41" t="inlineStr">
        <is>
          <t>{replaced_by_id}</t>
        </is>
      </c>
      <c r="F194" s="41" t="inlineStr">
        <is>
          <t>{job_id, affected_contract_count}</t>
        </is>
      </c>
      <c r="G194" s="41" t="inlineStr">
        <is>
          <t>Auth(admin)</t>
        </is>
      </c>
      <c r="H194" s="41" t="inlineStr">
        <is>
          <t>-</t>
        </is>
      </c>
      <c r="I194" s="41" t="inlineStr">
        <is>
          <t>P3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2"/>
    <col width="30" customWidth="1" style="27" min="3" max="3"/>
    <col width="70" customWidth="1" style="27" min="4" max="4"/>
    <col width="18" customWidth="1" style="27" min="5" max="5"/>
    <col width="12" customWidth="1" style="27" min="6" max="6"/>
    <col width="8" customWidth="1" style="27" min="7" max="7"/>
  </cols>
  <sheetData>
    <row r="1" ht="24" customHeight="1" s="28">
      <c r="A1" s="45" t="inlineStr">
        <is>
          <t>pgmq ジョブ仕様</t>
        </is>
      </c>
    </row>
    <row r="2" ht="18" customHeight="1" s="28">
      <c r="A2" s="46" t="inlineStr">
        <is>
          <t>Worker プロセスで処理する非同期ジョブ</t>
        </is>
      </c>
    </row>
    <row r="4" ht="21.75" customHeight="1" s="28">
      <c r="A4" s="33" t="inlineStr">
        <is>
          <t>■ ジョブ一覧</t>
        </is>
      </c>
    </row>
    <row r="5" ht="27.75" customHeight="1" s="28">
      <c r="A5" s="34" t="inlineStr">
        <is>
          <t>キュー名</t>
        </is>
      </c>
      <c r="B5" s="34" t="inlineStr">
        <is>
          <t>トリガー</t>
        </is>
      </c>
      <c r="C5" s="34" t="inlineStr">
        <is>
          <t>ペイロード</t>
        </is>
      </c>
      <c r="D5" s="34" t="inlineStr">
        <is>
          <t>処理内容</t>
        </is>
      </c>
      <c r="E5" s="34" t="inlineStr">
        <is>
          <t>リトライ</t>
        </is>
      </c>
      <c r="F5" s="34" t="inlineStr">
        <is>
          <t>タイムアウト</t>
        </is>
      </c>
      <c r="G5" s="34" t="inlineStr">
        <is>
          <t>並列度</t>
        </is>
      </c>
    </row>
    <row r="6" ht="72.34999999999999" customHeight="1" s="28">
      <c r="A6" s="35" t="inlineStr">
        <is>
          <t>process_business_card</t>
        </is>
      </c>
      <c r="B6" s="35" t="inlineStr">
        <is>
          <t>/api/ocr/business-card 後</t>
        </is>
      </c>
      <c r="C6" s="35" t="inlineStr">
        <is>
          <t>{contact_id, image_url}</t>
        </is>
      </c>
      <c r="D6" s="35" t="inlineStr">
        <is>
          <t>1) Vision API Document AI 呼び出し
2) 結果を Claude で構造化整形(姓名分離・フリガナ推定・敬称除去)
3) 重複検知(domain+name 類似度)
4) contact 更新
5) 完了通知</t>
        </is>
      </c>
      <c r="E6" s="35" t="inlineStr">
        <is>
          <t>3回(指数バックオフ)</t>
        </is>
      </c>
      <c r="F6" s="35" t="inlineStr">
        <is>
          <t>60秒</t>
        </is>
      </c>
      <c r="G6" s="35" t="inlineStr">
        <is>
          <t>4</t>
        </is>
      </c>
    </row>
    <row r="7" ht="114.9" customHeight="1" s="28">
      <c r="A7" s="35" t="inlineStr">
        <is>
          <t>process_recording</t>
        </is>
      </c>
      <c r="B7" s="35" t="inlineStr">
        <is>
          <t>Zoom Webhook recording.completed</t>
        </is>
      </c>
      <c r="C7" s="35" t="inlineStr">
        <is>
          <t>{meeting_id, zoom_meeting_id, zoom_recording_id, download_token}</t>
        </is>
      </c>
      <c r="D7" s="35" t="inlineStr">
        <is>
          <t>1) Zoom API で動画+VTT取得
2) 動画を R2 にアップロード(マルチパート)
3) VTT パース→segments
4) Whisper で品質補完(任意)
5) speakerに同席者ラベル付け
6) Claude で要約・key_points・customer_needs・objections・commitments 抽出
7) チャンク分割→embedding生成→knowledge_embeddings保存
8) 完了通知</t>
        </is>
      </c>
      <c r="E7" s="35" t="inlineStr">
        <is>
          <t>5回(指数バックオフ)</t>
        </is>
      </c>
      <c r="F7" s="35" t="inlineStr">
        <is>
          <t>30分</t>
        </is>
      </c>
      <c r="G7" s="35" t="inlineStr">
        <is>
          <t>2</t>
        </is>
      </c>
    </row>
    <row r="8" ht="15" customHeight="1" s="28">
      <c r="A8" s="35" t="inlineStr">
        <is>
          <t>analyze_recording</t>
        </is>
      </c>
      <c r="B8" s="35" t="inlineStr">
        <is>
          <t>recordings 編集後の再解析</t>
        </is>
      </c>
      <c r="C8" s="35" t="inlineStr">
        <is>
          <t>{recording_id}</t>
        </is>
      </c>
      <c r="D8" s="35" t="inlineStr">
        <is>
          <t>6,7のみ再実行</t>
        </is>
      </c>
      <c r="E8" s="35" t="inlineStr">
        <is>
          <t>3回</t>
        </is>
      </c>
      <c r="F8" s="35" t="inlineStr">
        <is>
          <t>15分</t>
        </is>
      </c>
      <c r="G8" s="35" t="inlineStr">
        <is>
          <t>2</t>
        </is>
      </c>
    </row>
    <row r="9" ht="55.2" customHeight="1" s="28">
      <c r="A9" s="35" t="inlineStr">
        <is>
          <t>send_scheduling_email</t>
        </is>
      </c>
      <c r="B9" s="36" t="inlineStr">
        <is>
          <t>ドラフト確認画面の送信ボタン</t>
        </is>
      </c>
      <c r="C9" s="35" t="inlineStr">
        <is>
          <t>{draft_id}</t>
        </is>
      </c>
      <c r="D9" s="35" t="inlineStr">
        <is>
          <t>1) Gmail API send
2) email_messages作成
3) thread状態を awaiting_reply に
4) Pub/Sub watch 開始(history.list用)</t>
        </is>
      </c>
      <c r="E9" s="35" t="inlineStr">
        <is>
          <t>3回</t>
        </is>
      </c>
      <c r="F9" s="35" t="inlineStr">
        <is>
          <t>30秒</t>
        </is>
      </c>
      <c r="G9" s="35" t="inlineStr">
        <is>
          <t>4</t>
        </is>
      </c>
    </row>
    <row r="10" ht="72.34999999999999" customHeight="1" s="28">
      <c r="A10" s="35" t="inlineStr">
        <is>
          <t>parse_email_reply</t>
        </is>
      </c>
      <c r="B10" s="35" t="inlineStr">
        <is>
          <t>Gmail Pub/Sub通知</t>
        </is>
      </c>
      <c r="C10" s="35" t="inlineStr">
        <is>
          <t>{user_id, history_id}</t>
        </is>
      </c>
      <c r="D10" s="35" t="inlineStr">
        <is>
          <t>1) history.list で新着取得
2) 関連 email_thread を引き当て
3) Claude で意図分類:slot_accept / slot_reject / counter_propose / unrelated
4) 信頼度低いものは needs_review に
5) 通知作成</t>
        </is>
      </c>
      <c r="E10" s="35" t="inlineStr">
        <is>
          <t>3回</t>
        </is>
      </c>
      <c r="F10" s="35" t="inlineStr">
        <is>
          <t>60秒</t>
        </is>
      </c>
      <c r="G10" s="35" t="inlineStr">
        <is>
          <t>4</t>
        </is>
      </c>
    </row>
    <row r="11" ht="55.2" customHeight="1" s="28">
      <c r="A11" s="35" t="inlineStr">
        <is>
          <t>generate_embeddings</t>
        </is>
      </c>
      <c r="B11" s="35" t="inlineStr">
        <is>
          <t>knowledge_items 作成・更新</t>
        </is>
      </c>
      <c r="C11" s="35" t="inlineStr">
        <is>
          <t>{source_type, source_id}</t>
        </is>
      </c>
      <c r="D11" s="35" t="inlineStr">
        <is>
          <t>1) 対象テキスト取得(資料/録画/メモ)
2) チャンク分割(800トークン重なり100)
3) OpenAI text-embedding-3-small 一括生成
4) knowledge_embeddings upsert</t>
        </is>
      </c>
      <c r="E11" s="35" t="inlineStr">
        <is>
          <t>3回</t>
        </is>
      </c>
      <c r="F11" s="35" t="inlineStr">
        <is>
          <t>5分</t>
        </is>
      </c>
      <c r="G11" s="35" t="inlineStr">
        <is>
          <t>4</t>
        </is>
      </c>
    </row>
    <row r="12" ht="58.2" customHeight="1" s="28">
      <c r="A12" s="35" t="inlineStr">
        <is>
          <t>analyze_document</t>
        </is>
      </c>
      <c r="B12" s="36" t="inlineStr">
        <is>
          <t>ナレッジファイルアップロード</t>
        </is>
      </c>
      <c r="C12" s="35" t="inlineStr">
        <is>
          <t>{knowledge_item_id}</t>
        </is>
      </c>
      <c r="D12" s="35" t="inlineStr">
        <is>
          <t>1) PDF/PPTX/画像からテキスト抽出
2) 画像なら Claude Vision で内容説明
3) ai_description / ai_tags 生成
4) 後段で generate_embeddings 投入</t>
        </is>
      </c>
      <c r="E12" s="35" t="inlineStr">
        <is>
          <t>3回</t>
        </is>
      </c>
      <c r="F12" s="35" t="inlineStr">
        <is>
          <t>5分</t>
        </is>
      </c>
      <c r="G12" s="35" t="inlineStr">
        <is>
          <t>4</t>
        </is>
      </c>
    </row>
    <row r="13" ht="58.2" customHeight="1" s="28">
      <c r="A13" s="35" t="inlineStr">
        <is>
          <t>generate_clip</t>
        </is>
      </c>
      <c r="B13" s="36" t="inlineStr">
        <is>
          <t>クリップ作成リクエスト</t>
        </is>
      </c>
      <c r="C13" s="35" t="inlineStr">
        <is>
          <t>{recording_id, start_seconds, end_seconds, clip_id}</t>
        </is>
      </c>
      <c r="D13" s="35" t="inlineStr">
        <is>
          <t>1) R2 から動画ダウンロード
2) ffmpeg で切り出し
3) R2 アップロード
4) clips 更新</t>
        </is>
      </c>
      <c r="E13" s="35" t="inlineStr">
        <is>
          <t>3回</t>
        </is>
      </c>
      <c r="F13" s="35" t="inlineStr">
        <is>
          <t>10分</t>
        </is>
      </c>
      <c r="G13" s="35" t="inlineStr">
        <is>
          <t>2</t>
        </is>
      </c>
    </row>
    <row r="14" ht="44" customHeight="1" s="28">
      <c r="A14" s="35" t="inlineStr">
        <is>
          <t>generate_handoff_draft</t>
        </is>
      </c>
      <c r="B14" s="36" t="inlineStr">
        <is>
          <t>引き継ぎ作成リクエスト</t>
        </is>
      </c>
      <c r="C14" s="35" t="inlineStr">
        <is>
          <t>{handoff_id, contract_id}</t>
        </is>
      </c>
      <c r="D14" s="35" t="inlineStr">
        <is>
          <t>1) 関連商談の録画・抽出を集約
2) Claude で構造化引き継ぎ書生成
3) handoffs.content 更新</t>
        </is>
      </c>
      <c r="E14" s="35" t="inlineStr">
        <is>
          <t>3回</t>
        </is>
      </c>
      <c r="F14" s="35" t="inlineStr">
        <is>
          <t>5分</t>
        </is>
      </c>
      <c r="G14" s="35" t="inlineStr">
        <is>
          <t>2</t>
        </is>
      </c>
    </row>
    <row r="15" ht="44" customHeight="1" s="28">
      <c r="A15" s="35" t="inlineStr">
        <is>
          <t>generate_roleplay_scenario</t>
        </is>
      </c>
      <c r="B15" s="36" t="inlineStr">
        <is>
          <t>シナリオ自動生成</t>
        </is>
      </c>
      <c r="C15" s="35" t="inlineStr">
        <is>
          <t>{from_meeting_ids, scenario_id}</t>
        </is>
      </c>
      <c r="D15" s="35" t="inlineStr">
        <is>
          <t>1) 録画抽出データ集約
2) Claude でペルソナ・初回発話・評価基準生成
3) scenarios 更新</t>
        </is>
      </c>
      <c r="E15" s="35" t="inlineStr">
        <is>
          <t>3回</t>
        </is>
      </c>
      <c r="F15" s="35" t="inlineStr">
        <is>
          <t>5分</t>
        </is>
      </c>
      <c r="G15" s="35" t="inlineStr">
        <is>
          <t>2</t>
        </is>
      </c>
    </row>
    <row r="16" ht="15" customHeight="1" s="28">
      <c r="A16" s="35" t="inlineStr">
        <is>
          <t>cleanup_expired_shares</t>
        </is>
      </c>
      <c r="B16" s="35" t="inlineStr">
        <is>
          <t>pg_cron daily</t>
        </is>
      </c>
      <c r="C16" s="35" t="inlineStr">
        <is>
          <t>-</t>
        </is>
      </c>
      <c r="D16" s="35" t="inlineStr">
        <is>
          <t>expires_at &lt; now() の share_links を削除</t>
        </is>
      </c>
      <c r="E16" s="35" t="inlineStr">
        <is>
          <t>-</t>
        </is>
      </c>
      <c r="F16" s="35" t="inlineStr">
        <is>
          <t>5分</t>
        </is>
      </c>
      <c r="G16" s="35" t="inlineStr">
        <is>
          <t>1</t>
        </is>
      </c>
    </row>
    <row r="17" ht="15" customHeight="1" s="28">
      <c r="A17" s="35" t="inlineStr">
        <is>
          <t>aggregate_usage</t>
        </is>
      </c>
      <c r="B17" s="35" t="inlineStr">
        <is>
          <t>pg_cron hourly</t>
        </is>
      </c>
      <c r="C17" s="35" t="inlineStr">
        <is>
          <t>-</t>
        </is>
      </c>
      <c r="D17" s="35" t="inlineStr">
        <is>
          <t>llm_usage_logs を月次集計、上限超過アラート</t>
        </is>
      </c>
      <c r="E17" s="35" t="inlineStr">
        <is>
          <t>-</t>
        </is>
      </c>
      <c r="F17" s="35" t="inlineStr">
        <is>
          <t>5分</t>
        </is>
      </c>
      <c r="G17" s="35" t="inlineStr">
        <is>
          <t>1</t>
        </is>
      </c>
    </row>
    <row r="19" ht="21.75" customHeight="1" s="28">
      <c r="A19" s="47" t="inlineStr">
        <is>
          <t>■ Worker 実装パターン(Hono + pgmq)</t>
        </is>
      </c>
    </row>
    <row r="20" ht="279.75" customHeight="1" s="28">
      <c r="A20" s="48" t="inlineStr">
        <is>
          <t>// apps/worker/src/queue.ts
import { createClient } from '@supabase/supabase-js';
const sb = createClient(process.env.SUPABASE_URL!, process.env.SUPABASE_SERVICE_ROLE_KEY!);
export async function consumeQueue(name: string, vt: number, handler: (msg: any) =&gt; Promise&lt;void&gt;) {
  while (true) {
    const { data } = await sb.schema('pgmq_public').rpc('read', { queue_name: name, vt, qty: 1 });
    if (!data || data.length === 0) { await sleep(2000); continue; }
    const msg = data[0];
    try {
      await handler(msg.message);
      await sb.schema('pgmq_public').rpc('delete', { queue_name: name, msg_id: msg.msg_id });
    } catch (err) {
      if (msg.read_ct &gt;= MAX_RETRIES) {
        await sb.schema('pgmq_public').rpc('archive', { queue_name: name, msg_id: msg.msg_id });
        // dead letter 通知
      }
      // それ以外は visibility timeout 切れで再取得される
    }
  }
}</t>
        </is>
      </c>
    </row>
    <row r="22">
      <c r="A22" s="41" t="inlineStr">
        <is>
          <t>■ 追加ジョブ(v2)</t>
        </is>
      </c>
      <c r="B22" s="41" t="n"/>
      <c r="C22" s="41" t="n"/>
      <c r="D22" s="41" t="n"/>
      <c r="E22" s="41" t="n"/>
      <c r="F22" s="41" t="n"/>
      <c r="G22" s="41" t="n"/>
    </row>
    <row r="23">
      <c r="A23" s="41" t="inlineStr">
        <is>
          <t>キュー</t>
        </is>
      </c>
      <c r="B23" s="41" t="inlineStr">
        <is>
          <t>ペイロード</t>
        </is>
      </c>
      <c r="C23" s="41" t="inlineStr">
        <is>
          <t>処理内容</t>
        </is>
      </c>
      <c r="D23" s="41" t="inlineStr">
        <is>
          <t>リトライ</t>
        </is>
      </c>
      <c r="E23" s="41" t="inlineStr">
        <is>
          <t>DLQ</t>
        </is>
      </c>
      <c r="F23" s="41" t="inlineStr">
        <is>
          <t>頻度</t>
        </is>
      </c>
      <c r="G23" s="41" t="inlineStr">
        <is>
          <t>Phase</t>
        </is>
      </c>
    </row>
    <row r="24">
      <c r="A24" s="41" t="inlineStr">
        <is>
          <t>q_offline_sync</t>
        </is>
      </c>
      <c r="B24" s="41" t="inlineStr">
        <is>
          <t>{client_id, items[]}</t>
        </is>
      </c>
      <c r="C24" s="41" t="inlineStr">
        <is>
          <t>オフラインキューの再送</t>
        </is>
      </c>
      <c r="D24" s="41" t="inlineStr">
        <is>
          <t>exp 5回</t>
        </is>
      </c>
      <c r="E24" s="41" t="inlineStr">
        <is>
          <t>yes</t>
        </is>
      </c>
      <c r="F24" s="41" t="inlineStr">
        <is>
          <t>online復帰時</t>
        </is>
      </c>
      <c r="G24" s="41" t="inlineStr">
        <is>
          <t>P1</t>
        </is>
      </c>
    </row>
    <row r="25">
      <c r="A25" s="41" t="inlineStr">
        <is>
          <t>q_event_tag_propagate</t>
        </is>
      </c>
      <c r="B25" s="41" t="inlineStr">
        <is>
          <t>{event_id, contact_ids[]}</t>
        </is>
      </c>
      <c r="C25" s="41" t="inlineStr">
        <is>
          <t>イベントタグ一括付与</t>
        </is>
      </c>
      <c r="D25" s="41" t="inlineStr">
        <is>
          <t>3回</t>
        </is>
      </c>
      <c r="E25" s="41" t="inlineStr">
        <is>
          <t>yes</t>
        </is>
      </c>
      <c r="F25" s="41" t="inlineStr">
        <is>
          <t>即時</t>
        </is>
      </c>
      <c r="G25" s="41" t="inlineStr">
        <is>
          <t>P2</t>
        </is>
      </c>
    </row>
    <row r="26">
      <c r="A26" s="41" t="inlineStr">
        <is>
          <t>q_internal_invite_timeout</t>
        </is>
      </c>
      <c r="B26" s="41" t="inlineStr">
        <is>
          <t>{invite_id}</t>
        </is>
      </c>
      <c r="C26" s="41" t="inlineStr">
        <is>
          <t>2時間後にtimeout判定</t>
        </is>
      </c>
      <c r="D26" s="41" t="inlineStr">
        <is>
          <t>-</t>
        </is>
      </c>
      <c r="E26" s="41" t="inlineStr">
        <is>
          <t>yes</t>
        </is>
      </c>
      <c r="F26" s="41" t="inlineStr">
        <is>
          <t>2時間後</t>
        </is>
      </c>
      <c r="G26" s="41" t="inlineStr">
        <is>
          <t>P2</t>
        </is>
      </c>
    </row>
    <row r="27">
      <c r="A27" s="41" t="inlineStr">
        <is>
          <t>q_calendar_hold_release</t>
        </is>
      </c>
      <c r="B27" s="41" t="inlineStr">
        <is>
          <t>{hold_id}</t>
        </is>
      </c>
      <c r="C27" s="41" t="inlineStr">
        <is>
          <t>48時間で自動解放</t>
        </is>
      </c>
      <c r="D27" s="41" t="inlineStr">
        <is>
          <t>-</t>
        </is>
      </c>
      <c r="E27" s="41" t="inlineStr">
        <is>
          <t>yes</t>
        </is>
      </c>
      <c r="F27" s="41" t="inlineStr">
        <is>
          <t>48時間後</t>
        </is>
      </c>
      <c r="G27" s="41" t="inlineStr">
        <is>
          <t>P2</t>
        </is>
      </c>
    </row>
    <row r="28">
      <c r="A28" s="41" t="inlineStr">
        <is>
          <t>q_scheduling_redraft</t>
        </is>
      </c>
      <c r="B28" s="41" t="inlineStr">
        <is>
          <t>{thread_id}</t>
        </is>
      </c>
      <c r="C28" s="41" t="inlineStr">
        <is>
          <t>全NG時の再ドラフト生成</t>
        </is>
      </c>
      <c r="D28" s="41" t="inlineStr">
        <is>
          <t>2回</t>
        </is>
      </c>
      <c r="E28" s="41" t="inlineStr">
        <is>
          <t>yes</t>
        </is>
      </c>
      <c r="F28" s="41" t="inlineStr">
        <is>
          <t>即時</t>
        </is>
      </c>
      <c r="G28" s="41" t="inlineStr">
        <is>
          <t>P2</t>
        </is>
      </c>
    </row>
    <row r="29">
      <c r="A29" s="41" t="inlineStr">
        <is>
          <t>q_meeting_brief</t>
        </is>
      </c>
      <c r="B29" s="41" t="inlineStr">
        <is>
          <t>{meeting_id}</t>
        </is>
      </c>
      <c r="C29" s="41" t="inlineStr">
        <is>
          <t>5分前にブリーフィング生成+push</t>
        </is>
      </c>
      <c r="D29" s="41" t="inlineStr">
        <is>
          <t>-</t>
        </is>
      </c>
      <c r="E29" s="41" t="inlineStr">
        <is>
          <t>yes</t>
        </is>
      </c>
      <c r="F29" s="41" t="inlineStr">
        <is>
          <t>商談15/5分前</t>
        </is>
      </c>
      <c r="G29" s="41" t="inlineStr">
        <is>
          <t>P2</t>
        </is>
      </c>
    </row>
    <row r="30">
      <c r="A30" s="41" t="inlineStr">
        <is>
          <t>q_meeting_recording_force</t>
        </is>
      </c>
      <c r="B30" s="41" t="inlineStr">
        <is>
          <t>{meeting_id}</t>
        </is>
      </c>
      <c r="C30" s="41" t="inlineStr">
        <is>
          <t>auto-record失敗時の警告/リトライ</t>
        </is>
      </c>
      <c r="D30" s="41" t="inlineStr">
        <is>
          <t>3回</t>
        </is>
      </c>
      <c r="E30" s="41" t="inlineStr">
        <is>
          <t>yes</t>
        </is>
      </c>
      <c r="F30" s="41" t="inlineStr">
        <is>
          <t>商談開始5分後</t>
        </is>
      </c>
      <c r="G30" s="41" t="inlineStr">
        <is>
          <t>P2</t>
        </is>
      </c>
    </row>
    <row r="31">
      <c r="A31" s="41" t="inlineStr">
        <is>
          <t>q_recording_stage1_transcript</t>
        </is>
      </c>
      <c r="B31" s="41" t="inlineStr">
        <is>
          <t>{recording_id}</t>
        </is>
      </c>
      <c r="C31" s="41" t="inlineStr">
        <is>
          <t>文字起こしのみ(数分)</t>
        </is>
      </c>
      <c r="D31" s="41" t="inlineStr">
        <is>
          <t>2回</t>
        </is>
      </c>
      <c r="E31" s="41" t="inlineStr">
        <is>
          <t>yes</t>
        </is>
      </c>
      <c r="F31" s="41" t="inlineStr">
        <is>
          <t>録画完了後</t>
        </is>
      </c>
      <c r="G31" s="41" t="inlineStr">
        <is>
          <t>P1</t>
        </is>
      </c>
    </row>
    <row r="32">
      <c r="A32" s="41" t="inlineStr">
        <is>
          <t>q_recording_stage2_preview</t>
        </is>
      </c>
      <c r="B32" s="41" t="inlineStr">
        <is>
          <t>{recording_id}</t>
        </is>
      </c>
      <c r="C32" s="41" t="inlineStr">
        <is>
          <t>プレビュー要約(10分)</t>
        </is>
      </c>
      <c r="D32" s="41" t="inlineStr">
        <is>
          <t>2回</t>
        </is>
      </c>
      <c r="E32" s="41" t="inlineStr">
        <is>
          <t>yes</t>
        </is>
      </c>
      <c r="F32" s="41" t="inlineStr">
        <is>
          <t>stage1完了後</t>
        </is>
      </c>
      <c r="G32" s="41" t="inlineStr">
        <is>
          <t>P1</t>
        </is>
      </c>
    </row>
    <row r="33">
      <c r="A33" s="41" t="inlineStr">
        <is>
          <t>q_recording_stage3_full</t>
        </is>
      </c>
      <c r="B33" s="41" t="inlineStr">
        <is>
          <t>{recording_id}</t>
        </is>
      </c>
      <c r="C33" s="41" t="inlineStr">
        <is>
          <t>ニーズ/反論/約束抽出(20分)</t>
        </is>
      </c>
      <c r="D33" s="41" t="inlineStr">
        <is>
          <t>2回</t>
        </is>
      </c>
      <c r="E33" s="41" t="inlineStr">
        <is>
          <t>yes</t>
        </is>
      </c>
      <c r="F33" s="41" t="inlineStr">
        <is>
          <t>stage2完了後</t>
        </is>
      </c>
      <c r="G33" s="41" t="inlineStr">
        <is>
          <t>P1</t>
        </is>
      </c>
    </row>
    <row r="34">
      <c r="A34" s="41" t="inlineStr">
        <is>
          <t>q_pii_redaction</t>
        </is>
      </c>
      <c r="B34" s="41" t="inlineStr">
        <is>
          <t>{recording_id, share_target}</t>
        </is>
      </c>
      <c r="C34" s="41" t="inlineStr">
        <is>
          <t>PIIマスキング</t>
        </is>
      </c>
      <c r="D34" s="41" t="inlineStr">
        <is>
          <t>2回</t>
        </is>
      </c>
      <c r="E34" s="41" t="inlineStr">
        <is>
          <t>yes</t>
        </is>
      </c>
      <c r="F34" s="41" t="inlineStr">
        <is>
          <t>共有時</t>
        </is>
      </c>
      <c r="G34" s="41" t="inlineStr">
        <is>
          <t>P2</t>
        </is>
      </c>
    </row>
    <row r="35">
      <c r="A35" s="41" t="inlineStr">
        <is>
          <t>q_external_summary</t>
        </is>
      </c>
      <c r="B35" s="41" t="inlineStr">
        <is>
          <t>{meeting_id}</t>
        </is>
      </c>
      <c r="C35" s="41" t="inlineStr">
        <is>
          <t>顧客向け要約生成</t>
        </is>
      </c>
      <c r="D35" s="41" t="inlineStr">
        <is>
          <t>2回</t>
        </is>
      </c>
      <c r="E35" s="41" t="inlineStr">
        <is>
          <t>yes</t>
        </is>
      </c>
      <c r="F35" s="41" t="inlineStr">
        <is>
          <t>オンデマンド</t>
        </is>
      </c>
      <c r="G35" s="41" t="inlineStr">
        <is>
          <t>P2</t>
        </is>
      </c>
    </row>
    <row r="36">
      <c r="A36" s="41" t="inlineStr">
        <is>
          <t>q_quick_search_cache</t>
        </is>
      </c>
      <c r="B36" s="41" t="inlineStr">
        <is>
          <t>{customer_id}</t>
        </is>
      </c>
      <c r="C36" s="41" t="inlineStr">
        <is>
          <t>CS用Top発言キャッシュ</t>
        </is>
      </c>
      <c r="D36" s="41" t="inlineStr">
        <is>
          <t>-</t>
        </is>
      </c>
      <c r="E36" s="41" t="inlineStr">
        <is>
          <t>-</t>
        </is>
      </c>
      <c r="F36" s="41" t="inlineStr">
        <is>
          <t>顧客変更時</t>
        </is>
      </c>
      <c r="G36" s="41" t="inlineStr">
        <is>
          <t>P2</t>
        </is>
      </c>
    </row>
    <row r="37">
      <c r="A37" s="41" t="inlineStr">
        <is>
          <t>q_complaint_link</t>
        </is>
      </c>
      <c r="B37" s="41" t="inlineStr">
        <is>
          <t>{complaint_id}</t>
        </is>
      </c>
      <c r="C37" s="41" t="inlineStr">
        <is>
          <t>関連商談の自動紐付け</t>
        </is>
      </c>
      <c r="D37" s="41" t="inlineStr">
        <is>
          <t>2回</t>
        </is>
      </c>
      <c r="E37" s="41" t="inlineStr">
        <is>
          <t>yes</t>
        </is>
      </c>
      <c r="F37" s="41" t="inlineStr">
        <is>
          <t>クレーム登録時</t>
        </is>
      </c>
      <c r="G37" s="41" t="inlineStr">
        <is>
          <t>P3</t>
        </is>
      </c>
    </row>
    <row r="38">
      <c r="A38" s="41" t="inlineStr">
        <is>
          <t>q_roleplay_failure_aggregate</t>
        </is>
      </c>
      <c r="B38" s="41" t="inlineStr">
        <is>
          <t>{period}</t>
        </is>
      </c>
      <c r="C38" s="41" t="inlineStr">
        <is>
          <t>失敗パターン集計</t>
        </is>
      </c>
      <c r="D38" s="41" t="inlineStr">
        <is>
          <t>-</t>
        </is>
      </c>
      <c r="E38" s="41" t="inlineStr">
        <is>
          <t>-</t>
        </is>
      </c>
      <c r="F38" s="41" t="inlineStr">
        <is>
          <t>週次</t>
        </is>
      </c>
      <c r="G38" s="41" t="inlineStr">
        <is>
          <t>P3</t>
        </is>
      </c>
    </row>
    <row r="39">
      <c r="A39" s="41" t="inlineStr">
        <is>
          <t>q_renewal_alerts</t>
        </is>
      </c>
      <c r="B39" s="41" t="inlineStr">
        <is>
          <t>-</t>
        </is>
      </c>
      <c r="C39" s="41" t="inlineStr">
        <is>
          <t>契約更新3ヶ月前検出</t>
        </is>
      </c>
      <c r="D39" s="41" t="inlineStr">
        <is>
          <t>-</t>
        </is>
      </c>
      <c r="E39" s="41" t="inlineStr">
        <is>
          <t>-</t>
        </is>
      </c>
      <c r="F39" s="41" t="inlineStr">
        <is>
          <t>日次</t>
        </is>
      </c>
      <c r="G39" s="41" t="inlineStr">
        <is>
          <t>P2</t>
        </is>
      </c>
    </row>
    <row r="40">
      <c r="A40" s="41" t="inlineStr">
        <is>
          <t>q_upsell_detect</t>
        </is>
      </c>
      <c r="B40" s="41" t="inlineStr">
        <is>
          <t>{recording_id}</t>
        </is>
      </c>
      <c r="C40" s="41" t="inlineStr">
        <is>
          <t>アップセル機会検出</t>
        </is>
      </c>
      <c r="D40" s="41" t="inlineStr">
        <is>
          <t>2回</t>
        </is>
      </c>
      <c r="E40" s="41" t="inlineStr">
        <is>
          <t>yes</t>
        </is>
      </c>
      <c r="F40" s="41" t="inlineStr">
        <is>
          <t>録画完了後</t>
        </is>
      </c>
      <c r="G40" s="41" t="inlineStr">
        <is>
          <t>P3</t>
        </is>
      </c>
    </row>
    <row r="41">
      <c r="A41" s="41" t="inlineStr">
        <is>
          <t>q_email_undo_finalize</t>
        </is>
      </c>
      <c r="B41" s="41" t="inlineStr">
        <is>
          <t>{undo_token}</t>
        </is>
      </c>
      <c r="C41" s="41" t="inlineStr">
        <is>
          <t>30秒後に確定送信</t>
        </is>
      </c>
      <c r="D41" s="41" t="inlineStr">
        <is>
          <t>-</t>
        </is>
      </c>
      <c r="E41" s="41" t="inlineStr">
        <is>
          <t>-</t>
        </is>
      </c>
      <c r="F41" s="41" t="inlineStr">
        <is>
          <t>30秒後</t>
        </is>
      </c>
      <c r="G41" s="41" t="inlineStr">
        <is>
          <t>P2</t>
        </is>
      </c>
    </row>
    <row r="42">
      <c r="A42" s="41" t="inlineStr">
        <is>
          <t>q_soft_delete_purge</t>
        </is>
      </c>
      <c r="B42" s="41" t="inlineStr">
        <is>
          <t>-</t>
        </is>
      </c>
      <c r="C42" s="41" t="inlineStr">
        <is>
          <t>保持期限超過の物理削除</t>
        </is>
      </c>
      <c r="D42" s="41" t="inlineStr">
        <is>
          <t>-</t>
        </is>
      </c>
      <c r="E42" s="41" t="inlineStr">
        <is>
          <t>-</t>
        </is>
      </c>
      <c r="F42" s="41" t="inlineStr">
        <is>
          <t>日次</t>
        </is>
      </c>
      <c r="G42" s="41" t="inlineStr">
        <is>
          <t>P2</t>
        </is>
      </c>
    </row>
    <row r="43">
      <c r="A43" s="41" t="inlineStr">
        <is>
          <t>q_pitr_snapshot</t>
        </is>
      </c>
      <c r="B43" s="41" t="inlineStr">
        <is>
          <t>-</t>
        </is>
      </c>
      <c r="C43" s="41" t="inlineStr">
        <is>
          <t>PITRスナップショット</t>
        </is>
      </c>
      <c r="D43" s="41" t="inlineStr">
        <is>
          <t>-</t>
        </is>
      </c>
      <c r="E43" s="41" t="inlineStr">
        <is>
          <t>-</t>
        </is>
      </c>
      <c r="F43" s="41" t="inlineStr">
        <is>
          <t>継続</t>
        </is>
      </c>
      <c r="G43" s="41" t="inlineStr">
        <is>
          <t>P2</t>
        </is>
      </c>
    </row>
    <row r="44">
      <c r="A44" s="41" t="inlineStr">
        <is>
          <t>q_consent_check</t>
        </is>
      </c>
      <c r="B44" s="41" t="inlineStr">
        <is>
          <t>{meeting_id}</t>
        </is>
      </c>
      <c r="C44" s="41" t="inlineStr">
        <is>
          <t>録画同意確認(冒頭5分)</t>
        </is>
      </c>
      <c r="D44" s="41" t="inlineStr">
        <is>
          <t>-</t>
        </is>
      </c>
      <c r="E44" s="41" t="inlineStr">
        <is>
          <t>yes</t>
        </is>
      </c>
      <c r="F44" s="41" t="inlineStr">
        <is>
          <t>録画開始5分後</t>
        </is>
      </c>
      <c r="G44" s="41" t="inlineStr">
        <is>
          <t>P2</t>
        </is>
      </c>
    </row>
    <row r="45">
      <c r="A45" s="41" t="inlineStr">
        <is>
          <t>q_deletion_request_review</t>
        </is>
      </c>
      <c r="B45" s="41" t="inlineStr">
        <is>
          <t>{ticket_id}</t>
        </is>
      </c>
      <c r="C45" s="41" t="inlineStr">
        <is>
          <t>削除依頼の人手レビュー振り分け</t>
        </is>
      </c>
      <c r="D45" s="41" t="inlineStr">
        <is>
          <t>-</t>
        </is>
      </c>
      <c r="E45" s="41" t="inlineStr">
        <is>
          <t>-</t>
        </is>
      </c>
      <c r="F45" s="41" t="inlineStr">
        <is>
          <t>即時</t>
        </is>
      </c>
      <c r="G45" s="41" t="inlineStr">
        <is>
          <t>P2</t>
        </is>
      </c>
    </row>
    <row r="46">
      <c r="A46" s="41" t="inlineStr">
        <is>
          <t>q_legal_export</t>
        </is>
      </c>
      <c r="B46" s="41" t="inlineStr">
        <is>
          <t>{period, customer}</t>
        </is>
      </c>
      <c r="C46" s="41" t="inlineStr">
        <is>
          <t>法的開示エクスポート</t>
        </is>
      </c>
      <c r="D46" s="41" t="inlineStr">
        <is>
          <t>-</t>
        </is>
      </c>
      <c r="E46" s="41" t="inlineStr">
        <is>
          <t>-</t>
        </is>
      </c>
      <c r="F46" s="41" t="inlineStr">
        <is>
          <t>オンデマンド</t>
        </is>
      </c>
      <c r="G46" s="41" t="inlineStr">
        <is>
          <t>P3</t>
        </is>
      </c>
    </row>
    <row r="47">
      <c r="A47" s="41" t="inlineStr">
        <is>
          <t>q_legacy_import</t>
        </is>
      </c>
      <c r="B47" s="41" t="inlineStr">
        <is>
          <t>{job_id}</t>
        </is>
      </c>
      <c r="C47" s="41" t="inlineStr">
        <is>
          <t>CSV/Sansan/Eight インポート</t>
        </is>
      </c>
      <c r="D47" s="41" t="inlineStr">
        <is>
          <t>2回</t>
        </is>
      </c>
      <c r="E47" s="41" t="inlineStr">
        <is>
          <t>yes</t>
        </is>
      </c>
      <c r="F47" s="41" t="inlineStr">
        <is>
          <t>オンデマンド</t>
        </is>
      </c>
      <c r="G47" s="41" t="inlineStr">
        <is>
          <t>P2</t>
        </is>
      </c>
    </row>
    <row r="48">
      <c r="A48" s="41" t="inlineStr">
        <is>
          <t>q_zoom_historical_import</t>
        </is>
      </c>
      <c r="B48" s="41" t="inlineStr">
        <is>
          <t>{period}</t>
        </is>
      </c>
      <c r="C48" s="41" t="inlineStr">
        <is>
          <t>Zoom過去録画一括</t>
        </is>
      </c>
      <c r="D48" s="41" t="inlineStr">
        <is>
          <t>2回</t>
        </is>
      </c>
      <c r="E48" s="41" t="inlineStr">
        <is>
          <t>yes</t>
        </is>
      </c>
      <c r="F48" s="41" t="inlineStr">
        <is>
          <t>オンデマンド</t>
        </is>
      </c>
      <c r="G48" s="41" t="inlineStr">
        <is>
          <t>P3</t>
        </is>
      </c>
    </row>
    <row r="49">
      <c r="A49" s="41" t="inlineStr">
        <is>
          <t>q_recent_view_log</t>
        </is>
      </c>
      <c r="B49" s="41" t="inlineStr">
        <is>
          <t>{user_id, resource}</t>
        </is>
      </c>
      <c r="C49" s="41" t="inlineStr">
        <is>
          <t>最近見た記録(buffered)</t>
        </is>
      </c>
      <c r="D49" s="41" t="inlineStr">
        <is>
          <t>-</t>
        </is>
      </c>
      <c r="E49" s="41" t="inlineStr">
        <is>
          <t>-</t>
        </is>
      </c>
      <c r="F49" s="41" t="inlineStr">
        <is>
          <t>リアルタイム</t>
        </is>
      </c>
      <c r="G49" s="41" t="inlineStr">
        <is>
          <t>P1</t>
        </is>
      </c>
    </row>
    <row r="50">
      <c r="A50" s="41" t="inlineStr">
        <is>
          <t>q_search_index_rebuild</t>
        </is>
      </c>
      <c r="B50" s="41" t="inlineStr">
        <is>
          <t>{table}</t>
        </is>
      </c>
      <c r="C50" s="41" t="inlineStr">
        <is>
          <t>BM25/vector再構築</t>
        </is>
      </c>
      <c r="D50" s="41" t="inlineStr">
        <is>
          <t>-</t>
        </is>
      </c>
      <c r="E50" s="41" t="inlineStr">
        <is>
          <t>-</t>
        </is>
      </c>
      <c r="F50" s="41" t="inlineStr">
        <is>
          <t>週次</t>
        </is>
      </c>
      <c r="G50" s="41" t="inlineStr">
        <is>
          <t>P1</t>
        </is>
      </c>
    </row>
    <row r="51">
      <c r="A51" s="41" t="inlineStr">
        <is>
          <t>q_hallucination_audit</t>
        </is>
      </c>
      <c r="B51" s="41" t="inlineStr">
        <is>
          <t>{conversation_id}</t>
        </is>
      </c>
      <c r="C51" s="41" t="inlineStr">
        <is>
          <t>引用なし回答の検査</t>
        </is>
      </c>
      <c r="D51" s="41" t="inlineStr">
        <is>
          <t>-</t>
        </is>
      </c>
      <c r="E51" s="41" t="inlineStr">
        <is>
          <t>-</t>
        </is>
      </c>
      <c r="F51" s="41" t="inlineStr">
        <is>
          <t>日次</t>
        </is>
      </c>
      <c r="G51" s="41" t="inlineStr">
        <is>
          <t>P3</t>
        </is>
      </c>
    </row>
    <row r="52">
      <c r="A52" s="41" t="inlineStr">
        <is>
          <t>q_voice_memo_transcribe</t>
        </is>
      </c>
      <c r="B52" s="41" t="inlineStr">
        <is>
          <t>{memo_id}</t>
        </is>
      </c>
      <c r="C52" s="41" t="inlineStr">
        <is>
          <t>Whisper文字起こし</t>
        </is>
      </c>
      <c r="D52" s="41" t="inlineStr">
        <is>
          <t>2回</t>
        </is>
      </c>
      <c r="E52" s="41" t="inlineStr">
        <is>
          <t>yes</t>
        </is>
      </c>
      <c r="F52" s="41" t="inlineStr">
        <is>
          <t>即時</t>
        </is>
      </c>
      <c r="G52" s="41" t="inlineStr">
        <is>
          <t>P2</t>
        </is>
      </c>
    </row>
    <row r="53">
      <c r="A53" s="41" t="inlineStr">
        <is>
          <t>q_push_dispatch</t>
        </is>
      </c>
      <c r="B53" s="41" t="inlineStr">
        <is>
          <t>{user_id, payload}</t>
        </is>
      </c>
      <c r="C53" s="41" t="inlineStr">
        <is>
          <t>Web Push送信</t>
        </is>
      </c>
      <c r="D53" s="41" t="inlineStr">
        <is>
          <t>2回</t>
        </is>
      </c>
      <c r="E53" s="41" t="inlineStr">
        <is>
          <t>yes</t>
        </is>
      </c>
      <c r="F53" s="41" t="inlineStr">
        <is>
          <t>即時</t>
        </is>
      </c>
      <c r="G53" s="41" t="inlineStr">
        <is>
          <t>P2</t>
        </is>
      </c>
    </row>
    <row r="54">
      <c r="A54" s="41" t="inlineStr">
        <is>
          <t>q_realtime_state_broadcast</t>
        </is>
      </c>
      <c r="B54" s="41" t="inlineStr">
        <is>
          <t>{resource_id, state}</t>
        </is>
      </c>
      <c r="C54" s="41" t="inlineStr">
        <is>
          <t>Realtime同期</t>
        </is>
      </c>
      <c r="D54" s="41" t="inlineStr">
        <is>
          <t>-</t>
        </is>
      </c>
      <c r="E54" s="41" t="inlineStr">
        <is>
          <t>-</t>
        </is>
      </c>
      <c r="F54" s="41" t="inlineStr">
        <is>
          <t>即時</t>
        </is>
      </c>
      <c r="G54" s="41" t="inlineStr">
        <is>
          <t>P2</t>
        </is>
      </c>
    </row>
    <row r="55">
      <c r="A55" s="41" t="inlineStr">
        <is>
          <t>q_ab_test_result</t>
        </is>
      </c>
      <c r="B55" s="41" t="inlineStr">
        <is>
          <t>{exp_id}</t>
        </is>
      </c>
      <c r="C55" s="41" t="inlineStr">
        <is>
          <t>A/Bテスト結果集計</t>
        </is>
      </c>
      <c r="D55" s="41" t="inlineStr">
        <is>
          <t>-</t>
        </is>
      </c>
      <c r="E55" s="41" t="inlineStr">
        <is>
          <t>-</t>
        </is>
      </c>
      <c r="F55" s="41" t="inlineStr">
        <is>
          <t>日次</t>
        </is>
      </c>
      <c r="G55" s="41" t="inlineStr">
        <is>
          <t>P3</t>
        </is>
      </c>
    </row>
    <row r="56">
      <c r="A56" s="41" t="inlineStr">
        <is>
          <t>q_ff_rollout_check</t>
        </is>
      </c>
      <c r="B56" s="41" t="inlineStr">
        <is>
          <t>-</t>
        </is>
      </c>
      <c r="C56" s="41" t="inlineStr">
        <is>
          <t>FFのロールアウト健全性</t>
        </is>
      </c>
      <c r="D56" s="41" t="inlineStr">
        <is>
          <t>-</t>
        </is>
      </c>
      <c r="E56" s="41" t="inlineStr">
        <is>
          <t>-</t>
        </is>
      </c>
      <c r="F56" s="41" t="inlineStr">
        <is>
          <t>時次</t>
        </is>
      </c>
      <c r="G56" s="41" t="inlineStr">
        <is>
          <t>P2</t>
        </is>
      </c>
    </row>
    <row r="57">
      <c r="A57" s="41" t="inlineStr">
        <is>
          <t>q_recording_consent_violation</t>
        </is>
      </c>
      <c r="B57" s="41" t="inlineStr">
        <is>
          <t>{meeting_id}</t>
        </is>
      </c>
      <c r="C57" s="41" t="inlineStr">
        <is>
          <t>不同意録画の自動停止</t>
        </is>
      </c>
      <c r="D57" s="41" t="inlineStr">
        <is>
          <t>-</t>
        </is>
      </c>
      <c r="E57" s="41" t="inlineStr">
        <is>
          <t>yes</t>
        </is>
      </c>
      <c r="F57" s="41" t="inlineStr">
        <is>
          <t>即時</t>
        </is>
      </c>
      <c r="G57" s="41" t="inlineStr">
        <is>
          <t>P2</t>
        </is>
      </c>
    </row>
    <row r="58">
      <c r="A58" s="41" t="inlineStr">
        <is>
          <t>q_anonymize_ex_employee</t>
        </is>
      </c>
      <c r="B58" s="41" t="inlineStr">
        <is>
          <t>{user_id}</t>
        </is>
      </c>
      <c r="C58" s="41" t="inlineStr">
        <is>
          <t>退職者発言のポリシー実行</t>
        </is>
      </c>
      <c r="D58" s="41" t="inlineStr">
        <is>
          <t>-</t>
        </is>
      </c>
      <c r="E58" s="41" t="inlineStr">
        <is>
          <t>yes</t>
        </is>
      </c>
      <c r="F58" s="41" t="inlineStr">
        <is>
          <t>退職時</t>
        </is>
      </c>
      <c r="G58" s="41" t="inlineStr">
        <is>
          <t>P3</t>
        </is>
      </c>
    </row>
    <row r="60">
      <c r="A60" s="41" t="inlineStr">
        <is>
          <t>■ Round1指摘反映で追加ジョブ(v2.1)</t>
        </is>
      </c>
      <c r="B60" s="41" t="n"/>
      <c r="C60" s="41" t="n"/>
      <c r="D60" s="41" t="n"/>
      <c r="E60" s="41" t="n"/>
      <c r="F60" s="41" t="n"/>
      <c r="G60" s="41" t="n"/>
    </row>
    <row r="61">
      <c r="A61" s="41" t="inlineStr">
        <is>
          <t>キュー</t>
        </is>
      </c>
      <c r="B61" s="41" t="inlineStr">
        <is>
          <t>ペイロード</t>
        </is>
      </c>
      <c r="C61" s="41" t="inlineStr">
        <is>
          <t>処理内容</t>
        </is>
      </c>
      <c r="D61" s="41" t="inlineStr">
        <is>
          <t>リトライ</t>
        </is>
      </c>
      <c r="E61" s="41" t="inlineStr">
        <is>
          <t>DLQ</t>
        </is>
      </c>
      <c r="F61" s="41" t="inlineStr">
        <is>
          <t>頻度</t>
        </is>
      </c>
      <c r="G61" s="41" t="inlineStr">
        <is>
          <t>Phase</t>
        </is>
      </c>
    </row>
    <row r="62">
      <c r="A62" s="41" t="inlineStr">
        <is>
          <t>q_pre_consent_buffer_purge</t>
        </is>
      </c>
      <c r="B62" s="41" t="inlineStr">
        <is>
          <t>{meeting_id, until_consent_at}</t>
        </is>
      </c>
      <c r="C62" s="41" t="inlineStr">
        <is>
          <t>同意前録音をR2/DBから物理削除(C-1)</t>
        </is>
      </c>
      <c r="D62" s="41" t="inlineStr">
        <is>
          <t>2</t>
        </is>
      </c>
      <c r="E62" s="41" t="inlineStr">
        <is>
          <t>yes</t>
        </is>
      </c>
      <c r="F62" s="41" t="inlineStr">
        <is>
          <t>同意取得後即時</t>
        </is>
      </c>
      <c r="G62" s="41" t="inlineStr">
        <is>
          <t>P2</t>
        </is>
      </c>
    </row>
    <row r="63">
      <c r="A63" s="41" t="inlineStr">
        <is>
          <t>q_consent_check_per_attendee</t>
        </is>
      </c>
      <c r="B63" s="41" t="inlineStr">
        <is>
          <t>{meeting_id, attendee_id}</t>
        </is>
      </c>
      <c r="C63" s="41" t="inlineStr">
        <is>
          <t>attendee別consent確認(C-1)</t>
        </is>
      </c>
      <c r="D63" s="41" t="inlineStr">
        <is>
          <t>-</t>
        </is>
      </c>
      <c r="E63" s="41" t="inlineStr">
        <is>
          <t>yes</t>
        </is>
      </c>
      <c r="F63" s="41" t="inlineStr">
        <is>
          <t>参加検知時</t>
        </is>
      </c>
      <c r="G63" s="41" t="inlineStr">
        <is>
          <t>P2</t>
        </is>
      </c>
    </row>
    <row r="64">
      <c r="A64" s="41" t="inlineStr">
        <is>
          <t>q_soft_delete_reminder</t>
        </is>
      </c>
      <c r="B64" s="41" t="inlineStr">
        <is>
          <t>-</t>
        </is>
      </c>
      <c r="C64" s="41" t="inlineStr">
        <is>
          <t>30日期限の7日前/1日前リマインド(G-6)</t>
        </is>
      </c>
      <c r="D64" s="41" t="inlineStr">
        <is>
          <t>-</t>
        </is>
      </c>
      <c r="E64" s="41" t="inlineStr">
        <is>
          <t>yes</t>
        </is>
      </c>
      <c r="F64" s="41" t="inlineStr">
        <is>
          <t>日次</t>
        </is>
      </c>
      <c r="G64" s="41" t="inlineStr">
        <is>
          <t>P2</t>
        </is>
      </c>
    </row>
    <row r="65">
      <c r="A65" s="41" t="inlineStr">
        <is>
          <t>q_deletion_propagate</t>
        </is>
      </c>
      <c r="B65" s="41" t="inlineStr">
        <is>
          <t>{ticket_id}</t>
        </is>
      </c>
      <c r="C65" s="41" t="inlineStr">
        <is>
          <t>R2/Anthropic/OpenAI/PITR への伝播削除(C-3)</t>
        </is>
      </c>
      <c r="D65" s="41" t="inlineStr">
        <is>
          <t>3</t>
        </is>
      </c>
      <c r="E65" s="41" t="inlineStr">
        <is>
          <t>yes</t>
        </is>
      </c>
      <c r="F65" s="41" t="inlineStr">
        <is>
          <t>承認時</t>
        </is>
      </c>
      <c r="G65" s="41" t="inlineStr">
        <is>
          <t>P2</t>
        </is>
      </c>
    </row>
    <row r="66">
      <c r="A66" s="41" t="inlineStr">
        <is>
          <t>q_audit_chain_verify</t>
        </is>
      </c>
      <c r="B66" s="41" t="inlineStr">
        <is>
          <t>{period}</t>
        </is>
      </c>
      <c r="C66" s="41" t="inlineStr">
        <is>
          <t>audit_logs hash chain健全性検査(C-5)</t>
        </is>
      </c>
      <c r="D66" s="41" t="inlineStr">
        <is>
          <t>-</t>
        </is>
      </c>
      <c r="E66" s="41" t="inlineStr">
        <is>
          <t>yes</t>
        </is>
      </c>
      <c r="F66" s="41" t="inlineStr">
        <is>
          <t>日次</t>
        </is>
      </c>
      <c r="G66" s="41" t="inlineStr">
        <is>
          <t>P2</t>
        </is>
      </c>
    </row>
    <row r="67">
      <c r="A67" s="41" t="inlineStr">
        <is>
          <t>q_audit_worm_export</t>
        </is>
      </c>
      <c r="B67" s="41" t="inlineStr">
        <is>
          <t>-</t>
        </is>
      </c>
      <c r="C67" s="41" t="inlineStr">
        <is>
          <t>audit_logsをR2 WORMへエクスポート(C-5)</t>
        </is>
      </c>
      <c r="D67" s="41" t="inlineStr">
        <is>
          <t>2</t>
        </is>
      </c>
      <c r="E67" s="41" t="inlineStr">
        <is>
          <t>yes</t>
        </is>
      </c>
      <c r="F67" s="41" t="inlineStr">
        <is>
          <t>日次</t>
        </is>
      </c>
      <c r="G67" s="41" t="inlineStr">
        <is>
          <t>P2</t>
        </is>
      </c>
    </row>
    <row r="68">
      <c r="A68" s="41" t="inlineStr">
        <is>
          <t>q_offboarding_orchestrate</t>
        </is>
      </c>
      <c r="B68" s="41" t="inlineStr">
        <is>
          <t>{user_id}</t>
        </is>
      </c>
      <c r="C68" s="41" t="inlineStr">
        <is>
          <t>退職SOP M-Day〜M+60自動進行(C-6)</t>
        </is>
      </c>
      <c r="D68" s="41" t="inlineStr">
        <is>
          <t>-</t>
        </is>
      </c>
      <c r="E68" s="41" t="inlineStr">
        <is>
          <t>yes</t>
        </is>
      </c>
      <c r="F68" s="41" t="inlineStr">
        <is>
          <t>オンデマンド</t>
        </is>
      </c>
      <c r="G68" s="41" t="inlineStr">
        <is>
          <t>P2</t>
        </is>
      </c>
    </row>
    <row r="69">
      <c r="A69" s="41" t="inlineStr">
        <is>
          <t>q_offboarding_owner_transfer</t>
        </is>
      </c>
      <c r="B69" s="41" t="inlineStr">
        <is>
          <t>{user_id, target_owner}</t>
        </is>
      </c>
      <c r="C69" s="41" t="inlineStr">
        <is>
          <t>所有権一括移管(C-6)</t>
        </is>
      </c>
      <c r="D69" s="41" t="inlineStr">
        <is>
          <t>2</t>
        </is>
      </c>
      <c r="E69" s="41" t="inlineStr">
        <is>
          <t>yes</t>
        </is>
      </c>
      <c r="F69" s="41" t="inlineStr">
        <is>
          <t>退職day</t>
        </is>
      </c>
      <c r="G69" s="41" t="inlineStr">
        <is>
          <t>P2</t>
        </is>
      </c>
    </row>
    <row r="70">
      <c r="A70" s="41" t="inlineStr">
        <is>
          <t>q_speaker_propagate</t>
        </is>
      </c>
      <c r="B70" s="41" t="inlineStr">
        <is>
          <t>{speaker_id, name}</t>
        </is>
      </c>
      <c r="C70" s="41" t="inlineStr">
        <is>
          <t>話者命名の遡及伝搬(G-26)</t>
        </is>
      </c>
      <c r="D70" s="41" t="inlineStr">
        <is>
          <t>2</t>
        </is>
      </c>
      <c r="E70" s="41" t="inlineStr">
        <is>
          <t>yes</t>
        </is>
      </c>
      <c r="F70" s="41" t="inlineStr">
        <is>
          <t>命名時</t>
        </is>
      </c>
      <c r="G70" s="41" t="inlineStr">
        <is>
          <t>P2</t>
        </is>
      </c>
    </row>
    <row r="71">
      <c r="A71" s="41" t="inlineStr">
        <is>
          <t>q_renewal_3m_alert</t>
        </is>
      </c>
      <c r="B71" s="41" t="inlineStr">
        <is>
          <t>-</t>
        </is>
      </c>
      <c r="C71" s="41" t="inlineStr">
        <is>
          <t>契約更新3ヶ月前push(US-74重複回避)</t>
        </is>
      </c>
      <c r="D71" s="41" t="inlineStr">
        <is>
          <t>-</t>
        </is>
      </c>
      <c r="E71" s="41" t="inlineStr">
        <is>
          <t>-</t>
        </is>
      </c>
      <c r="F71" s="41" t="inlineStr">
        <is>
          <t>日次</t>
        </is>
      </c>
      <c r="G71" s="41" t="inlineStr">
        <is>
          <t>P2</t>
        </is>
      </c>
    </row>
    <row r="72">
      <c r="A72" s="41" t="inlineStr">
        <is>
          <t>q_embedding_cleanup</t>
        </is>
      </c>
      <c r="B72" s="41" t="inlineStr">
        <is>
          <t>{source_kind,source_id}</t>
        </is>
      </c>
      <c r="C72" s="41" t="inlineStr">
        <is>
          <t>元レコード削除時のembedding掃除(M-3)</t>
        </is>
      </c>
      <c r="D72" s="41" t="inlineStr">
        <is>
          <t>2</t>
        </is>
      </c>
      <c r="E72" s="41" t="inlineStr">
        <is>
          <t>yes</t>
        </is>
      </c>
      <c r="F72" s="41" t="inlineStr">
        <is>
          <t>削除時</t>
        </is>
      </c>
      <c r="G72" s="41" t="inlineStr">
        <is>
          <t>P1</t>
        </is>
      </c>
    </row>
    <row r="73">
      <c r="A73" s="41" t="inlineStr">
        <is>
          <t>q_dr_backup_replicate</t>
        </is>
      </c>
      <c r="B73" s="41" t="inlineStr">
        <is>
          <t>-</t>
        </is>
      </c>
      <c r="C73" s="41" t="inlineStr">
        <is>
          <t>ap-northeast-3への暗号化バックアップ(M-C4)</t>
        </is>
      </c>
      <c r="D73" s="41" t="inlineStr">
        <is>
          <t>2</t>
        </is>
      </c>
      <c r="E73" s="41" t="inlineStr">
        <is>
          <t>yes</t>
        </is>
      </c>
      <c r="F73" s="41" t="inlineStr">
        <is>
          <t>日次</t>
        </is>
      </c>
      <c r="G73" s="41" t="inlineStr">
        <is>
          <t>P2</t>
        </is>
      </c>
    </row>
    <row r="74">
      <c r="A74" s="41" t="inlineStr">
        <is>
          <t>q_consent_revoke_apply</t>
        </is>
      </c>
      <c r="B74" s="41" t="inlineStr">
        <is>
          <t>{user_id, version}</t>
        </is>
      </c>
      <c r="C74" s="41" t="inlineStr">
        <is>
          <t>利用規約撤回時のAI処理停止+embeddings削除(M-C5)</t>
        </is>
      </c>
      <c r="D74" s="41" t="inlineStr">
        <is>
          <t>-</t>
        </is>
      </c>
      <c r="E74" s="41" t="inlineStr">
        <is>
          <t>yes</t>
        </is>
      </c>
      <c r="F74" s="41" t="inlineStr">
        <is>
          <t>撤回時</t>
        </is>
      </c>
      <c r="G74" s="41" t="inlineStr">
        <is>
          <t>P2</t>
        </is>
      </c>
    </row>
    <row r="75">
      <c r="A75" s="41" t="inlineStr">
        <is>
          <t>q_llm_cost_guard</t>
        </is>
      </c>
      <c r="B75" s="41" t="inlineStr">
        <is>
          <t>-</t>
        </is>
      </c>
      <c r="C75" s="41" t="inlineStr">
        <is>
          <t>Anthropic tokens/sec監視+月予算150%でhard stop(T-6,M-C6)</t>
        </is>
      </c>
      <c r="D75" s="41" t="inlineStr">
        <is>
          <t>-</t>
        </is>
      </c>
      <c r="E75" s="41" t="inlineStr">
        <is>
          <t>-</t>
        </is>
      </c>
      <c r="F75" s="41" t="inlineStr">
        <is>
          <t>継続</t>
        </is>
      </c>
      <c r="G75" s="41" t="inlineStr">
        <is>
          <t>P1</t>
        </is>
      </c>
    </row>
    <row r="76">
      <c r="A76" s="41" t="inlineStr">
        <is>
          <t>q_secret_rotation_check</t>
        </is>
      </c>
      <c r="B76" s="41" t="inlineStr">
        <is>
          <t>-</t>
        </is>
      </c>
      <c r="C76" s="41" t="inlineStr">
        <is>
          <t>_OLD/_NEW併存7日窓監視(M-C1)</t>
        </is>
      </c>
      <c r="D76" s="41" t="inlineStr">
        <is>
          <t>-</t>
        </is>
      </c>
      <c r="E76" s="41" t="inlineStr">
        <is>
          <t>yes</t>
        </is>
      </c>
      <c r="F76" s="41" t="inlineStr">
        <is>
          <t>日次</t>
        </is>
      </c>
      <c r="G76" s="41" t="inlineStr">
        <is>
          <t>P2</t>
        </is>
      </c>
    </row>
    <row r="77">
      <c r="A77" s="41" t="inlineStr">
        <is>
          <t>q_idempotency_keys_purge</t>
        </is>
      </c>
      <c r="B77" s="41" t="inlineStr">
        <is>
          <t>-</t>
        </is>
      </c>
      <c r="C77" s="41" t="inlineStr">
        <is>
          <t>TTL超過のidempotency_keys掃除(T-5)</t>
        </is>
      </c>
      <c r="D77" s="41" t="inlineStr">
        <is>
          <t>-</t>
        </is>
      </c>
      <c r="E77" s="41" t="inlineStr">
        <is>
          <t>-</t>
        </is>
      </c>
      <c r="F77" s="41" t="inlineStr">
        <is>
          <t>日次</t>
        </is>
      </c>
      <c r="G77" s="41" t="inlineStr">
        <is>
          <t>P1</t>
        </is>
      </c>
    </row>
    <row r="78">
      <c r="A78" s="41" t="inlineStr">
        <is>
          <t>q_jobs_inflight_release</t>
        </is>
      </c>
      <c r="B78" s="41" t="inlineStr">
        <is>
          <t>-</t>
        </is>
      </c>
      <c r="C78" s="41" t="inlineStr">
        <is>
          <t>期限切れinflightロック解除(T-3)</t>
        </is>
      </c>
      <c r="D78" s="41" t="inlineStr">
        <is>
          <t>-</t>
        </is>
      </c>
      <c r="E78" s="41" t="inlineStr">
        <is>
          <t>-</t>
        </is>
      </c>
      <c r="F78" s="41" t="inlineStr">
        <is>
          <t>継続</t>
        </is>
      </c>
      <c r="G78" s="41" t="inlineStr">
        <is>
          <t>P1</t>
        </is>
      </c>
    </row>
    <row r="79">
      <c r="A79" s="41" t="inlineStr">
        <is>
          <t>q_onboarding_kpi_check</t>
        </is>
      </c>
      <c r="B79" s="41" t="inlineStr">
        <is>
          <t>-</t>
        </is>
      </c>
      <c r="C79" s="41" t="inlineStr">
        <is>
          <t>初週KPI未達検出+CSM/上司alert(G-13)</t>
        </is>
      </c>
      <c r="D79" s="41" t="inlineStr">
        <is>
          <t>-</t>
        </is>
      </c>
      <c r="E79" s="41" t="inlineStr">
        <is>
          <t>-</t>
        </is>
      </c>
      <c r="F79" s="41" t="inlineStr">
        <is>
          <t>日次</t>
        </is>
      </c>
      <c r="G79" s="41" t="inlineStr">
        <is>
          <t>P3</t>
        </is>
      </c>
    </row>
    <row r="80">
      <c r="A80" s="41" t="inlineStr">
        <is>
          <t>q_share_link_watermark</t>
        </is>
      </c>
      <c r="B80" s="41" t="inlineStr">
        <is>
          <t>{share_token}</t>
        </is>
      </c>
      <c r="C80" s="41" t="inlineStr">
        <is>
          <t>viewer email埋込み透かし(M-C2)</t>
        </is>
      </c>
      <c r="D80" s="41" t="inlineStr">
        <is>
          <t>2</t>
        </is>
      </c>
      <c r="E80" s="41" t="inlineStr">
        <is>
          <t>yes</t>
        </is>
      </c>
      <c r="F80" s="41" t="inlineStr">
        <is>
          <t>アクセス時</t>
        </is>
      </c>
      <c r="G80" s="41" t="inlineStr">
        <is>
          <t>P2</t>
        </is>
      </c>
    </row>
    <row r="81">
      <c r="A81" s="41" t="inlineStr">
        <is>
          <t>q_search_zero_result_log</t>
        </is>
      </c>
      <c r="B81" s="41" t="inlineStr">
        <is>
          <t>{query, user_id}</t>
        </is>
      </c>
      <c r="C81" s="41" t="inlineStr">
        <is>
          <t>ゼロ件クエリ記録+did_you_mean生成(G-20)</t>
        </is>
      </c>
      <c r="D81" s="41" t="inlineStr">
        <is>
          <t>-</t>
        </is>
      </c>
      <c r="E81" s="41" t="inlineStr">
        <is>
          <t>-</t>
        </is>
      </c>
      <c r="F81" s="41" t="inlineStr">
        <is>
          <t>即時</t>
        </is>
      </c>
      <c r="G81" s="41" t="inlineStr">
        <is>
          <t>P2</t>
        </is>
      </c>
    </row>
    <row r="83">
      <c r="A83" s="41" t="inlineStr">
        <is>
          <t>■ v2.3 追加ジョブ(実演シミュ反映)</t>
        </is>
      </c>
      <c r="B83" s="41" t="n"/>
      <c r="C83" s="41" t="n"/>
      <c r="D83" s="41" t="n"/>
      <c r="E83" s="41" t="n"/>
      <c r="F83" s="41" t="n"/>
      <c r="G83" s="41" t="n"/>
    </row>
    <row r="84">
      <c r="A84" s="41" t="inlineStr">
        <is>
          <t>キュー</t>
        </is>
      </c>
      <c r="B84" s="41" t="inlineStr">
        <is>
          <t>ペイロード</t>
        </is>
      </c>
      <c r="C84" s="41" t="inlineStr">
        <is>
          <t>処理内容</t>
        </is>
      </c>
      <c r="D84" s="41" t="inlineStr">
        <is>
          <t>リトライ</t>
        </is>
      </c>
      <c r="E84" s="41" t="inlineStr">
        <is>
          <t>DLQ</t>
        </is>
      </c>
      <c r="F84" s="41" t="inlineStr">
        <is>
          <t>頻度</t>
        </is>
      </c>
      <c r="G84" s="41" t="inlineStr">
        <is>
          <t>Phase</t>
        </is>
      </c>
    </row>
    <row r="85">
      <c r="A85" s="41" t="inlineStr">
        <is>
          <t>q_audit_evidence_pack</t>
        </is>
      </c>
      <c r="B85" s="41" t="inlineStr">
        <is>
          <t>{period}</t>
        </is>
      </c>
      <c r="C85" s="41" t="inlineStr">
        <is>
          <t>監査エビデンスパック自動生成(F-S10-2)</t>
        </is>
      </c>
      <c r="D85" s="41" t="inlineStr">
        <is>
          <t>2</t>
        </is>
      </c>
      <c r="E85" s="41" t="inlineStr">
        <is>
          <t>yes</t>
        </is>
      </c>
      <c r="F85" s="41" t="inlineStr">
        <is>
          <t>月次</t>
        </is>
      </c>
      <c r="G85" s="41" t="inlineStr">
        <is>
          <t>P2</t>
        </is>
      </c>
    </row>
    <row r="86">
      <c r="A86" s="41" t="inlineStr">
        <is>
          <t>q_handoff_sla_check</t>
        </is>
      </c>
      <c r="B86" s="41" t="inlineStr">
        <is>
          <t>-</t>
        </is>
      </c>
      <c r="C86" s="41" t="inlineStr">
        <is>
          <t>48h/72h SLA違反検出+escalate(F-S9-1)</t>
        </is>
      </c>
      <c r="D86" s="41" t="inlineStr">
        <is>
          <t>-</t>
        </is>
      </c>
      <c r="E86" s="41" t="inlineStr">
        <is>
          <t>-</t>
        </is>
      </c>
      <c r="F86" s="41" t="inlineStr">
        <is>
          <t>継続</t>
        </is>
      </c>
      <c r="G86" s="41" t="inlineStr">
        <is>
          <t>P2</t>
        </is>
      </c>
    </row>
    <row r="87">
      <c r="A87" s="41" t="inlineStr">
        <is>
          <t>q_behavioral_anomaly</t>
        </is>
      </c>
      <c r="B87" s="41" t="inlineStr">
        <is>
          <t>-</t>
        </is>
      </c>
      <c r="C87" s="41" t="inlineStr">
        <is>
          <t>部下行動異常検知(F-S8-4)</t>
        </is>
      </c>
      <c r="D87" s="41" t="inlineStr">
        <is>
          <t>-</t>
        </is>
      </c>
      <c r="E87" s="41" t="inlineStr">
        <is>
          <t>-</t>
        </is>
      </c>
      <c r="F87" s="41" t="inlineStr">
        <is>
          <t>週次</t>
        </is>
      </c>
      <c r="G87" s="41" t="inlineStr">
        <is>
          <t>P3</t>
        </is>
      </c>
    </row>
    <row r="88">
      <c r="A88" s="41" t="inlineStr">
        <is>
          <t>q_cost_actuals_aggregate</t>
        </is>
      </c>
      <c r="B88" s="41" t="inlineStr">
        <is>
          <t>-</t>
        </is>
      </c>
      <c r="C88" s="41" t="inlineStr">
        <is>
          <t>per-user/team/featureコスト集計(F-S10-4)</t>
        </is>
      </c>
      <c r="D88" s="41" t="inlineStr">
        <is>
          <t>-</t>
        </is>
      </c>
      <c r="E88" s="41" t="inlineStr">
        <is>
          <t>-</t>
        </is>
      </c>
      <c r="F88" s="41" t="inlineStr">
        <is>
          <t>日次</t>
        </is>
      </c>
      <c r="G88" s="41" t="inlineStr">
        <is>
          <t>P2</t>
        </is>
      </c>
    </row>
    <row r="89">
      <c r="A89" s="41" t="inlineStr">
        <is>
          <t>q_meeting_brief_degraded</t>
        </is>
      </c>
      <c r="B89" s="41" t="inlineStr">
        <is>
          <t>{meeting_id}</t>
        </is>
      </c>
      <c r="C89" s="41" t="inlineStr">
        <is>
          <t>縮退版brief即時生成(F-S4-4)</t>
        </is>
      </c>
      <c r="D89" s="41" t="inlineStr">
        <is>
          <t>2</t>
        </is>
      </c>
      <c r="E89" s="41" t="inlineStr">
        <is>
          <t>yes</t>
        </is>
      </c>
      <c r="F89" s="41" t="inlineStr">
        <is>
          <t>15分前</t>
        </is>
      </c>
      <c r="G89" s="41" t="inlineStr">
        <is>
          <t>P2</t>
        </is>
      </c>
    </row>
    <row r="90">
      <c r="A90" s="41" t="inlineStr">
        <is>
          <t>q_meeting_brief_full</t>
        </is>
      </c>
      <c r="B90" s="41" t="inlineStr">
        <is>
          <t>{meeting_id}</t>
        </is>
      </c>
      <c r="C90" s="41" t="inlineStr">
        <is>
          <t>完全版brief(F-S4-4)</t>
        </is>
      </c>
      <c r="D90" s="41" t="inlineStr">
        <is>
          <t>2</t>
        </is>
      </c>
      <c r="E90" s="41" t="inlineStr">
        <is>
          <t>yes</t>
        </is>
      </c>
      <c r="F90" s="41" t="inlineStr">
        <is>
          <t>5分前</t>
        </is>
      </c>
      <c r="G90" s="41" t="inlineStr">
        <is>
          <t>P2</t>
        </is>
      </c>
    </row>
    <row r="91">
      <c r="A91" s="41" t="inlineStr">
        <is>
          <t>q_recording_stage_eta</t>
        </is>
      </c>
      <c r="B91" s="41" t="inlineStr">
        <is>
          <t>-</t>
        </is>
      </c>
      <c r="C91" s="41" t="inlineStr">
        <is>
          <t>stage1/2/3 ETA算出(F-S5-2)</t>
        </is>
      </c>
      <c r="D91" s="41" t="inlineStr">
        <is>
          <t>-</t>
        </is>
      </c>
      <c r="E91" s="41" t="inlineStr">
        <is>
          <t>-</t>
        </is>
      </c>
      <c r="F91" s="41" t="inlineStr">
        <is>
          <t>分次</t>
        </is>
      </c>
      <c r="G91" s="41" t="inlineStr">
        <is>
          <t>P2</t>
        </is>
      </c>
    </row>
    <row r="92">
      <c r="A92" s="41" t="inlineStr">
        <is>
          <t>q_derived_artifacts_regen</t>
        </is>
      </c>
      <c r="B92" s="41" t="inlineStr">
        <is>
          <t>{meeting_id, kinds[]}</t>
        </is>
      </c>
      <c r="C92" s="41" t="inlineStr">
        <is>
          <t>summary/handoff/embeddingsの差分再生成(F-S5-1)</t>
        </is>
      </c>
      <c r="D92" s="41" t="inlineStr">
        <is>
          <t>2</t>
        </is>
      </c>
      <c r="E92" s="41" t="inlineStr">
        <is>
          <t>yes</t>
        </is>
      </c>
      <c r="F92" s="41" t="inlineStr">
        <is>
          <t>インライン編集後</t>
        </is>
      </c>
      <c r="G92" s="41" t="inlineStr">
        <is>
          <t>P2</t>
        </is>
      </c>
    </row>
    <row r="93">
      <c r="A93" s="41" t="inlineStr">
        <is>
          <t>q_speaker_voice_propagate</t>
        </is>
      </c>
      <c r="B93" s="41" t="inlineStr">
        <is>
          <t>{voice_embedding_id, name}</t>
        </is>
      </c>
      <c r="C93" s="41" t="inlineStr">
        <is>
          <t>voice学習で過去録画にも反映(F-S5-4)</t>
        </is>
      </c>
      <c r="D93" s="41" t="inlineStr">
        <is>
          <t>2</t>
        </is>
      </c>
      <c r="E93" s="41" t="inlineStr">
        <is>
          <t>yes</t>
        </is>
      </c>
      <c r="F93" s="41" t="inlineStr">
        <is>
          <t>命名時</t>
        </is>
      </c>
      <c r="G93" s="41" t="inlineStr">
        <is>
          <t>P2</t>
        </is>
      </c>
    </row>
    <row r="94">
      <c r="A94" s="41" t="inlineStr">
        <is>
          <t>q_post_meeting_checklist</t>
        </is>
      </c>
      <c r="B94" s="41" t="inlineStr">
        <is>
          <t>{meeting_id}</t>
        </is>
      </c>
      <c r="C94" s="41" t="inlineStr">
        <is>
          <t>商談後タスク自動生成(F-S5-5)</t>
        </is>
      </c>
      <c r="D94" s="41" t="inlineStr">
        <is>
          <t>-</t>
        </is>
      </c>
      <c r="E94" s="41" t="inlineStr">
        <is>
          <t>-</t>
        </is>
      </c>
      <c r="F94" s="41" t="inlineStr">
        <is>
          <t>商談終了</t>
        </is>
      </c>
      <c r="G94" s="41" t="inlineStr">
        <is>
          <t>P2</t>
        </is>
      </c>
    </row>
    <row r="95">
      <c r="A95" s="41" t="inlineStr">
        <is>
          <t>q_zoom_recording_pause_alert</t>
        </is>
      </c>
      <c r="B95" s="41" t="inlineStr">
        <is>
          <t>{meeting_id}</t>
        </is>
      </c>
      <c r="C95" s="41" t="inlineStr">
        <is>
          <t>録画停止30秒以内Push+SMS(F-S4-5)</t>
        </is>
      </c>
      <c r="D95" s="41" t="inlineStr">
        <is>
          <t>2</t>
        </is>
      </c>
      <c r="E95" s="41" t="inlineStr">
        <is>
          <t>yes</t>
        </is>
      </c>
      <c r="F95" s="41" t="inlineStr">
        <is>
          <t>webhook</t>
        </is>
      </c>
      <c r="G95" s="41" t="inlineStr">
        <is>
          <t>P1</t>
        </is>
      </c>
    </row>
    <row r="96">
      <c r="A96" s="41" t="inlineStr">
        <is>
          <t>q_voice_memo_segments_merge</t>
        </is>
      </c>
      <c r="B96" s="41" t="inlineStr">
        <is>
          <t>{memo_id}</t>
        </is>
      </c>
      <c r="C96" s="41" t="inlineStr">
        <is>
          <t>中断分割の最終連結(F-S14-2)</t>
        </is>
      </c>
      <c r="D96" s="41" t="inlineStr">
        <is>
          <t>2</t>
        </is>
      </c>
      <c r="E96" s="41" t="inlineStr">
        <is>
          <t>yes</t>
        </is>
      </c>
      <c r="F96" s="41" t="inlineStr">
        <is>
          <t>録音終了</t>
        </is>
      </c>
      <c r="G96" s="41" t="inlineStr">
        <is>
          <t>P2</t>
        </is>
      </c>
    </row>
    <row r="97">
      <c r="A97" s="41" t="inlineStr">
        <is>
          <t>q_sync_success_dispatch</t>
        </is>
      </c>
      <c r="B97" s="41" t="inlineStr">
        <is>
          <t>-</t>
        </is>
      </c>
      <c r="C97" s="41" t="inlineStr">
        <is>
          <t>同期成功toast配信(throttle 10s bundle, F-S14-3)</t>
        </is>
      </c>
      <c r="D97" s="41" t="inlineStr">
        <is>
          <t>-</t>
        </is>
      </c>
      <c r="E97" s="41" t="inlineStr">
        <is>
          <t>-</t>
        </is>
      </c>
      <c r="F97" s="41" t="inlineStr">
        <is>
          <t>継続</t>
        </is>
      </c>
      <c r="G97" s="41" t="inlineStr">
        <is>
          <t>P2</t>
        </is>
      </c>
    </row>
    <row r="98">
      <c r="A98" s="41" t="inlineStr">
        <is>
          <t>q_notification_dedup</t>
        </is>
      </c>
      <c r="B98" s="41" t="inlineStr">
        <is>
          <t>{event_id, user_id, channels[]}</t>
        </is>
      </c>
      <c r="C98" s="41" t="inlineStr">
        <is>
          <t>クロスチャネル重複抑制(F-UX-4)</t>
        </is>
      </c>
      <c r="D98" s="41" t="inlineStr">
        <is>
          <t>-</t>
        </is>
      </c>
      <c r="E98" s="41" t="inlineStr">
        <is>
          <t>yes</t>
        </is>
      </c>
      <c r="F98" s="41" t="inlineStr">
        <is>
          <t>即時</t>
        </is>
      </c>
      <c r="G98" s="41" t="inlineStr">
        <is>
          <t>P2</t>
        </is>
      </c>
    </row>
    <row r="99">
      <c r="A99" s="41" t="inlineStr">
        <is>
          <t>q_onboarding_kpi_alert</t>
        </is>
      </c>
      <c r="B99" s="41" t="inlineStr">
        <is>
          <t>-</t>
        </is>
      </c>
      <c r="C99" s="41" t="inlineStr">
        <is>
          <t>初週KPI未達alert(F-S12-3再強化)</t>
        </is>
      </c>
      <c r="D99" s="41" t="inlineStr">
        <is>
          <t>-</t>
        </is>
      </c>
      <c r="E99" s="41" t="inlineStr">
        <is>
          <t>-</t>
        </is>
      </c>
      <c r="F99" s="41" t="inlineStr">
        <is>
          <t>日次</t>
        </is>
      </c>
      <c r="G99" s="41" t="inlineStr">
        <is>
          <t>P3</t>
        </is>
      </c>
    </row>
    <row r="100">
      <c r="A100" s="41" t="inlineStr">
        <is>
          <t>q_dr_restore_request</t>
        </is>
      </c>
      <c r="B100" s="41" t="inlineStr">
        <is>
          <t>{request_id}</t>
        </is>
      </c>
      <c r="C100" s="41" t="inlineStr">
        <is>
          <t>PITR復元実行(承認後)(F-S10-1)</t>
        </is>
      </c>
      <c r="D100" s="41" t="inlineStr">
        <is>
          <t>-</t>
        </is>
      </c>
      <c r="E100" s="41" t="inlineStr">
        <is>
          <t>yes</t>
        </is>
      </c>
      <c r="F100" s="41" t="inlineStr">
        <is>
          <t>承認時</t>
        </is>
      </c>
      <c r="G100" s="41" t="inlineStr">
        <is>
          <t>P3</t>
        </is>
      </c>
    </row>
    <row r="101">
      <c r="A101" s="41" t="inlineStr">
        <is>
          <t>q_legacy_import_resume</t>
        </is>
      </c>
      <c r="B101" s="41" t="inlineStr">
        <is>
          <t>{job_id}</t>
        </is>
      </c>
      <c r="C101" s="41" t="inlineStr">
        <is>
          <t>staged_stateから再開(F-S12-2)</t>
        </is>
      </c>
      <c r="D101" s="41" t="inlineStr">
        <is>
          <t>2</t>
        </is>
      </c>
      <c r="E101" s="41" t="inlineStr">
        <is>
          <t>yes</t>
        </is>
      </c>
      <c r="F101" s="41" t="inlineStr">
        <is>
          <t>中断時</t>
        </is>
      </c>
      <c r="G101" s="41" t="inlineStr">
        <is>
          <t>P2</t>
        </is>
      </c>
    </row>
    <row r="102">
      <c r="A102" s="41" t="inlineStr">
        <is>
          <t>q_observation_consent_update</t>
        </is>
      </c>
      <c r="B102" s="41" t="inlineStr">
        <is>
          <t>{user_id, level}</t>
        </is>
      </c>
      <c r="C102" s="41" t="inlineStr">
        <is>
          <t>観戦同意レベル更新(F-S8-2)</t>
        </is>
      </c>
      <c r="D102" s="41" t="inlineStr">
        <is>
          <t>-</t>
        </is>
      </c>
      <c r="E102" s="41" t="inlineStr">
        <is>
          <t>-</t>
        </is>
      </c>
      <c r="F102" s="41" t="inlineStr">
        <is>
          <t>設定変更時</t>
        </is>
      </c>
      <c r="G102" s="41" t="inlineStr">
        <is>
          <t>P3</t>
        </is>
      </c>
    </row>
    <row r="103">
      <c r="A103" s="41" t="inlineStr">
        <is>
          <t>q_internal_invite_dynamic_timeout</t>
        </is>
      </c>
      <c r="B103" s="41" t="inlineStr">
        <is>
          <t>{invite_id}</t>
        </is>
      </c>
      <c r="C103" s="41" t="inlineStr">
        <is>
          <t>役職/外出ステータスでtimeout延長(F-S2-1)</t>
        </is>
      </c>
      <c r="D103" s="41" t="inlineStr">
        <is>
          <t>-</t>
        </is>
      </c>
      <c r="E103" s="41" t="inlineStr">
        <is>
          <t>-</t>
        </is>
      </c>
      <c r="F103" s="41" t="inlineStr">
        <is>
          <t>即時</t>
        </is>
      </c>
      <c r="G103" s="41" t="inlineStr">
        <is>
          <t>P2</t>
        </is>
      </c>
    </row>
    <row r="104">
      <c r="A104" s="41" t="inlineStr">
        <is>
          <t>q_calendar_hold_release_dynamic</t>
        </is>
      </c>
      <c r="B104" s="41" t="inlineStr">
        <is>
          <t>{hold_id}</t>
        </is>
      </c>
      <c r="C104" s="41" t="inlineStr">
        <is>
          <t>他候補確定/timeoutで解放(透明性反映)(F-S2-2)</t>
        </is>
      </c>
      <c r="D104" s="41" t="inlineStr">
        <is>
          <t>-</t>
        </is>
      </c>
      <c r="E104" s="41" t="inlineStr">
        <is>
          <t>-</t>
        </is>
      </c>
      <c r="F104" s="41" t="inlineStr">
        <is>
          <t>即時/timeout</t>
        </is>
      </c>
      <c r="G104" s="41" t="inlineStr">
        <is>
          <t>P2</t>
        </is>
      </c>
    </row>
    <row r="105">
      <c r="A105" s="41" t="inlineStr">
        <is>
          <t>q_handoff_quality_score</t>
        </is>
      </c>
      <c r="B105" s="41" t="inlineStr">
        <is>
          <t>{handoff_id}</t>
        </is>
      </c>
      <c r="C105" s="41" t="inlineStr">
        <is>
          <t>品質スコア+6m churn相関(F-S9-5)</t>
        </is>
      </c>
      <c r="D105" s="41" t="inlineStr">
        <is>
          <t>-</t>
        </is>
      </c>
      <c r="E105" s="41" t="inlineStr">
        <is>
          <t>-</t>
        </is>
      </c>
      <c r="F105" s="41" t="inlineStr">
        <is>
          <t>引継ぎ完了+6M</t>
        </is>
      </c>
      <c r="G105" s="41" t="inlineStr">
        <is>
          <t>P3</t>
        </is>
      </c>
    </row>
    <row r="106">
      <c r="A106" s="41" t="inlineStr">
        <is>
          <t>q_top_attention_generate</t>
        </is>
      </c>
      <c r="B106" s="41" t="inlineStr">
        <is>
          <t>-</t>
        </is>
      </c>
      <c r="C106" s="41" t="inlineStr">
        <is>
          <t>Top5案件/Top3部下生成(F-S8-1)</t>
        </is>
      </c>
      <c r="D106" s="41" t="inlineStr">
        <is>
          <t>-</t>
        </is>
      </c>
      <c r="E106" s="41" t="inlineStr">
        <is>
          <t>-</t>
        </is>
      </c>
      <c r="F106" s="41" t="inlineStr">
        <is>
          <t>日次/月曜朝</t>
        </is>
      </c>
      <c r="G106" s="41" t="inlineStr">
        <is>
          <t>P3</t>
        </is>
      </c>
    </row>
    <row r="107">
      <c r="A107" s="41" t="inlineStr">
        <is>
          <t>q_role_default_notifications_apply</t>
        </is>
      </c>
      <c r="B107" s="41" t="inlineStr">
        <is>
          <t>{user_id, role}</t>
        </is>
      </c>
      <c r="C107" s="41" t="inlineStr">
        <is>
          <t>新規ユーザにロール別初期値適用(F-S12-4)</t>
        </is>
      </c>
      <c r="D107" s="41" t="inlineStr">
        <is>
          <t>-</t>
        </is>
      </c>
      <c r="E107" s="41" t="inlineStr">
        <is>
          <t>-</t>
        </is>
      </c>
      <c r="F107" s="41" t="inlineStr">
        <is>
          <t>サインアップ時</t>
        </is>
      </c>
      <c r="G107" s="41" t="inlineStr">
        <is>
          <t>P3</t>
        </is>
      </c>
    </row>
    <row r="108">
      <c r="A108" s="41" t="inlineStr">
        <is>
          <t>q_audit_chain_incident_open</t>
        </is>
      </c>
      <c r="B108" s="41" t="inlineStr">
        <is>
          <t>{broken_row_id}</t>
        </is>
      </c>
      <c r="C108" s="41" t="inlineStr">
        <is>
          <t>破断検知時にincident起票(F-S10-3)</t>
        </is>
      </c>
      <c r="D108" s="41" t="inlineStr">
        <is>
          <t>-</t>
        </is>
      </c>
      <c r="E108" s="41" t="inlineStr">
        <is>
          <t>yes</t>
        </is>
      </c>
      <c r="F108" s="41" t="inlineStr">
        <is>
          <t>検知時</t>
        </is>
      </c>
      <c r="G108" s="41" t="inlineStr">
        <is>
          <t>P2</t>
        </is>
      </c>
    </row>
    <row r="109">
      <c r="A109" s="41" t="inlineStr">
        <is>
          <t>q_help_articles_seed</t>
        </is>
      </c>
      <c r="B109" s="41" t="inlineStr">
        <is>
          <t>-</t>
        </is>
      </c>
      <c r="C109" s="41" t="inlineStr">
        <is>
          <t>help_articles 20件seed(F-UX-5)</t>
        </is>
      </c>
      <c r="D109" s="41" t="inlineStr">
        <is>
          <t>-</t>
        </is>
      </c>
      <c r="E109" s="41" t="inlineStr">
        <is>
          <t>-</t>
        </is>
      </c>
      <c r="F109" s="41" t="inlineStr">
        <is>
          <t>P1リリース時</t>
        </is>
      </c>
      <c r="G109" s="41" t="inlineStr">
        <is>
          <t>P2</t>
        </is>
      </c>
    </row>
    <row r="110">
      <c r="A110" s="41" t="inlineStr">
        <is>
          <t>q_export_template_render</t>
        </is>
      </c>
      <c r="B110" s="41" t="inlineStr">
        <is>
          <t>{locale, kind, payload}</t>
        </is>
      </c>
      <c r="C110" s="41" t="inlineStr">
        <is>
          <t>i18n PDF/メール/透かしレンダリング(F-UX-1)</t>
        </is>
      </c>
      <c r="D110" s="41" t="inlineStr">
        <is>
          <t>2</t>
        </is>
      </c>
      <c r="E110" s="41" t="inlineStr">
        <is>
          <t>yes</t>
        </is>
      </c>
      <c r="F110" s="41" t="inlineStr">
        <is>
          <t>オンデマンド</t>
        </is>
      </c>
      <c r="G110" s="41" t="inlineStr">
        <is>
          <t>P3</t>
        </is>
      </c>
    </row>
    <row r="112">
      <c r="A112" s="41" t="inlineStr">
        <is>
          <t>■ v2.4 追加ジョブ(再シミュ残課題)</t>
        </is>
      </c>
      <c r="B112" s="41" t="n"/>
      <c r="C112" s="41" t="n"/>
      <c r="D112" s="41" t="n"/>
      <c r="E112" s="41" t="n"/>
      <c r="F112" s="41" t="n"/>
      <c r="G112" s="41" t="n"/>
    </row>
    <row r="113">
      <c r="A113" s="41" t="inlineStr">
        <is>
          <t>キュー</t>
        </is>
      </c>
      <c r="B113" s="41" t="inlineStr">
        <is>
          <t>ペイロード</t>
        </is>
      </c>
      <c r="C113" s="41" t="inlineStr">
        <is>
          <t>処理内容</t>
        </is>
      </c>
      <c r="D113" s="41" t="inlineStr">
        <is>
          <t>リトライ</t>
        </is>
      </c>
      <c r="E113" s="41" t="inlineStr">
        <is>
          <t>DLQ</t>
        </is>
      </c>
      <c r="F113" s="41" t="inlineStr">
        <is>
          <t>頻度</t>
        </is>
      </c>
      <c r="G113" s="41" t="inlineStr">
        <is>
          <t>Phase</t>
        </is>
      </c>
    </row>
    <row r="114">
      <c r="A114" s="41" t="inlineStr">
        <is>
          <t>q_pre_consent_buffer_purge(改v2.4)</t>
        </is>
      </c>
      <c r="B114" s="41" t="inlineStr">
        <is>
          <t>-</t>
        </is>
      </c>
      <c r="C114" s="41" t="inlineStr">
        <is>
          <t>verbal_proof_locked=false のみ対象に修正(NF-S4-1)</t>
        </is>
      </c>
      <c r="D114" s="41" t="inlineStr">
        <is>
          <t>-</t>
        </is>
      </c>
      <c r="E114" s="41" t="inlineStr">
        <is>
          <t>yes</t>
        </is>
      </c>
      <c r="F114" s="41" t="inlineStr">
        <is>
          <t>継続</t>
        </is>
      </c>
      <c r="G114" s="41" t="inlineStr">
        <is>
          <t>P2</t>
        </is>
      </c>
    </row>
    <row r="115">
      <c r="A115" s="41" t="inlineStr">
        <is>
          <t>q_pre_consent_buffer_lock</t>
        </is>
      </c>
      <c r="B115" s="41" t="inlineStr">
        <is>
          <t>{meeting_id, segment_range}</t>
        </is>
      </c>
      <c r="C115" s="41" t="inlineStr">
        <is>
          <t>verbal同意取得時にbufferをロック(NF-S4-1)</t>
        </is>
      </c>
      <c r="D115" s="41" t="inlineStr">
        <is>
          <t>2</t>
        </is>
      </c>
      <c r="E115" s="41" t="inlineStr">
        <is>
          <t>yes</t>
        </is>
      </c>
      <c r="F115" s="41" t="inlineStr">
        <is>
          <t>即時</t>
        </is>
      </c>
      <c r="G115" s="41" t="inlineStr">
        <is>
          <t>P2</t>
        </is>
      </c>
    </row>
    <row r="116">
      <c r="A116" s="41" t="inlineStr">
        <is>
          <t>q_legacy_import_zoom(改v2.4)</t>
        </is>
      </c>
      <c r="B116" s="41" t="inlineStr">
        <is>
          <t>-</t>
        </is>
      </c>
      <c r="C116" s="41" t="inlineStr">
        <is>
          <t>max_retries=3, exponential backoff(2^n min, max 16min), 失敗→q_legacy_import_dlq</t>
        </is>
      </c>
      <c r="D116" s="41" t="inlineStr">
        <is>
          <t>3</t>
        </is>
      </c>
      <c r="E116" s="41" t="inlineStr">
        <is>
          <t>yes</t>
        </is>
      </c>
      <c r="F116" s="41" t="inlineStr">
        <is>
          <t>オンデマンド</t>
        </is>
      </c>
      <c r="G116" s="41" t="inlineStr">
        <is>
          <t>P3</t>
        </is>
      </c>
    </row>
    <row r="117">
      <c r="A117" s="41" t="inlineStr">
        <is>
          <t>q_legacy_import_dlq</t>
        </is>
      </c>
      <c r="B117" s="41" t="inlineStr">
        <is>
          <t>{job_id, error}</t>
        </is>
      </c>
      <c r="C117" s="41" t="inlineStr">
        <is>
          <t>DLQ管理(F-S14-4再)</t>
        </is>
      </c>
      <c r="D117" s="41" t="inlineStr">
        <is>
          <t>-</t>
        </is>
      </c>
      <c r="E117" s="41" t="inlineStr">
        <is>
          <t>-</t>
        </is>
      </c>
      <c r="F117" s="41" t="inlineStr">
        <is>
          <t>-</t>
        </is>
      </c>
      <c r="G117" s="41" t="inlineStr">
        <is>
          <t>P3</t>
        </is>
      </c>
    </row>
    <row r="118">
      <c r="A118" s="41" t="inlineStr">
        <is>
          <t>q_voice_memo_translate</t>
        </is>
      </c>
      <c r="B118" s="41" t="inlineStr">
        <is>
          <t>{memo_id, target_locale}</t>
        </is>
      </c>
      <c r="C118" s="41" t="inlineStr">
        <is>
          <t>オンザフライ翻訳(NF-UX-1)</t>
        </is>
      </c>
      <c r="D118" s="41" t="inlineStr">
        <is>
          <t>2</t>
        </is>
      </c>
      <c r="E118" s="41" t="inlineStr">
        <is>
          <t>yes</t>
        </is>
      </c>
      <c r="F118" s="41" t="inlineStr">
        <is>
          <t>share token閲覧時</t>
        </is>
      </c>
      <c r="G118" s="41" t="inlineStr">
        <is>
          <t>P3</t>
        </is>
      </c>
    </row>
    <row r="119">
      <c r="A119" s="41" t="inlineStr">
        <is>
          <t>q_taxonomy_review</t>
        </is>
      </c>
      <c r="B119" s="41" t="inlineStr">
        <is>
          <t>{taxonomy_id}</t>
        </is>
      </c>
      <c r="C119" s="41" t="inlineStr">
        <is>
          <t>法務→情シス順承認フロー(NF-S9-1)</t>
        </is>
      </c>
      <c r="D119" s="41" t="inlineStr">
        <is>
          <t>-</t>
        </is>
      </c>
      <c r="E119" s="41" t="inlineStr">
        <is>
          <t>yes</t>
        </is>
      </c>
      <c r="F119" s="41" t="inlineStr">
        <is>
          <t>オンデマンド</t>
        </is>
      </c>
      <c r="G119" s="41" t="inlineStr">
        <is>
          <t>P3</t>
        </is>
      </c>
    </row>
    <row r="120">
      <c r="A120" s="41" t="inlineStr">
        <is>
          <t>q_away_heuristic_detect</t>
        </is>
      </c>
      <c r="B120" s="41" t="inlineStr">
        <is>
          <t>{user_id}</t>
        </is>
      </c>
      <c r="C120" s="41" t="inlineStr">
        <is>
          <t>Gmail flight + calendar holds密度から自動away推定(NF-S2-1)</t>
        </is>
      </c>
      <c r="D120" s="41" t="inlineStr">
        <is>
          <t>-</t>
        </is>
      </c>
      <c r="E120" s="41" t="inlineStr">
        <is>
          <t>-</t>
        </is>
      </c>
      <c r="F120" s="41" t="inlineStr">
        <is>
          <t>日次</t>
        </is>
      </c>
      <c r="G120" s="41" t="inlineStr">
        <is>
          <t>P2</t>
        </is>
      </c>
    </row>
    <row r="121">
      <c r="A121" s="41" t="inlineStr">
        <is>
          <t>q_derived_artifacts_regen(改v2.4)</t>
        </is>
      </c>
      <c r="B121" s="41" t="inlineStr">
        <is>
          <t>-</t>
        </is>
      </c>
      <c r="C121" s="41" t="inlineStr">
        <is>
          <t>debounce 60秒+OCC追加(NF-S5-1)</t>
        </is>
      </c>
      <c r="D121" s="41" t="inlineStr">
        <is>
          <t>2</t>
        </is>
      </c>
      <c r="E121" s="41" t="inlineStr">
        <is>
          <t>yes</t>
        </is>
      </c>
      <c r="F121" s="41" t="inlineStr">
        <is>
          <t>インライン編集後60秒静止</t>
        </is>
      </c>
      <c r="G121" s="41" t="inlineStr">
        <is>
          <t>P2</t>
        </is>
      </c>
    </row>
    <row r="122">
      <c r="A122" s="41" t="inlineStr">
        <is>
          <t>q_zoom_recording_pause_alert(改v2.4)</t>
        </is>
      </c>
      <c r="B122" s="41" t="inlineStr">
        <is>
          <t>-</t>
        </is>
      </c>
      <c r="C122" s="41" t="inlineStr">
        <is>
          <t>paused_by_user_idで分岐(NF-S4-2): 本人=Pushのみ, admin=Push+SMS</t>
        </is>
      </c>
      <c r="D122" s="41" t="inlineStr">
        <is>
          <t>2</t>
        </is>
      </c>
      <c r="E122" s="41" t="inlineStr">
        <is>
          <t>yes</t>
        </is>
      </c>
      <c r="F122" s="41" t="inlineStr">
        <is>
          <t>webhook</t>
        </is>
      </c>
      <c r="G122" s="41" t="inlineStr">
        <is>
          <t>P1</t>
        </is>
      </c>
    </row>
    <row r="124">
      <c r="A124" s="41" t="inlineStr">
        <is>
          <t>■ v2.5 追加・改修(R3 minor)</t>
        </is>
      </c>
      <c r="B124" s="41" t="n"/>
      <c r="C124" s="41" t="n"/>
      <c r="D124" s="41" t="n"/>
      <c r="E124" s="41" t="n"/>
      <c r="F124" s="41" t="n"/>
      <c r="G124" s="41" t="n"/>
    </row>
    <row r="125">
      <c r="A125" s="41" t="inlineStr">
        <is>
          <t>キュー</t>
        </is>
      </c>
      <c r="B125" s="41" t="inlineStr">
        <is>
          <t>ペイロード</t>
        </is>
      </c>
      <c r="C125" s="41" t="inlineStr">
        <is>
          <t>処理内容</t>
        </is>
      </c>
      <c r="D125" s="41" t="inlineStr">
        <is>
          <t>リトライ</t>
        </is>
      </c>
      <c r="E125" s="41" t="inlineStr">
        <is>
          <t>DLQ</t>
        </is>
      </c>
      <c r="F125" s="41" t="inlineStr">
        <is>
          <t>頻度</t>
        </is>
      </c>
      <c r="G125" s="41" t="inlineStr">
        <is>
          <t>Phase</t>
        </is>
      </c>
    </row>
    <row r="126">
      <c r="A126" s="41" t="inlineStr">
        <is>
          <t>q_voice_memo_translate_human</t>
        </is>
      </c>
      <c r="B126" s="41" t="inlineStr">
        <is>
          <t>{memo_id, target_locale}</t>
        </is>
      </c>
      <c r="C126" s="41" t="inlineStr">
        <is>
          <t>人手翻訳発注+SLA 5営業日(NF3-UX-2)</t>
        </is>
      </c>
      <c r="D126" s="41" t="inlineStr">
        <is>
          <t>-</t>
        </is>
      </c>
      <c r="E126" s="41" t="inlineStr">
        <is>
          <t>yes</t>
        </is>
      </c>
      <c r="F126" s="41" t="inlineStr">
        <is>
          <t>オンデマンド</t>
        </is>
      </c>
      <c r="G126" s="41" t="inlineStr">
        <is>
          <t>P3</t>
        </is>
      </c>
    </row>
    <row r="127">
      <c r="A127" s="41" t="inlineStr">
        <is>
          <t>q_roleplay_clip_reencode</t>
        </is>
      </c>
      <c r="B127" s="41" t="inlineStr">
        <is>
          <t>{clip_id, blur_level}</t>
        </is>
      </c>
      <c r="C127" s="41" t="inlineStr">
        <is>
          <t>downgrade時の遡及ぼかし再エンコード(NF3-S7-1)</t>
        </is>
      </c>
      <c r="D127" s="41" t="inlineStr">
        <is>
          <t>2</t>
        </is>
      </c>
      <c r="E127" s="41" t="inlineStr">
        <is>
          <t>yes</t>
        </is>
      </c>
      <c r="F127" s="41" t="inlineStr">
        <is>
          <t>downgrade時</t>
        </is>
      </c>
      <c r="G127" s="41" t="inlineStr">
        <is>
          <t>P3</t>
        </is>
      </c>
    </row>
    <row r="128">
      <c r="A128" s="41" t="inlineStr">
        <is>
          <t>q_taxonomy_migration</t>
        </is>
      </c>
      <c r="B128" s="41" t="inlineStr">
        <is>
          <t>{old_taxonomy_id, replaced_by_id}</t>
        </is>
      </c>
      <c r="C128" s="41" t="inlineStr">
        <is>
          <t>archive後の代替版migration(NF3-S9-1)</t>
        </is>
      </c>
      <c r="D128" s="41" t="inlineStr">
        <is>
          <t>2</t>
        </is>
      </c>
      <c r="E128" s="41" t="inlineStr">
        <is>
          <t>yes</t>
        </is>
      </c>
      <c r="F128" s="41" t="inlineStr">
        <is>
          <t>オンデマンド</t>
        </is>
      </c>
      <c r="G128" s="41" t="inlineStr">
        <is>
          <t>P3</t>
        </is>
      </c>
    </row>
    <row r="129">
      <c r="A129" s="41" t="inlineStr">
        <is>
          <t>q_review_backlog_aggregate</t>
        </is>
      </c>
      <c r="B129" s="41" t="inlineStr">
        <is>
          <t>-</t>
        </is>
      </c>
      <c r="C129" s="41" t="inlineStr">
        <is>
          <t>信頼区間&lt;0.4退避バックログ集計(NF3-S8-1)</t>
        </is>
      </c>
      <c r="D129" s="41" t="inlineStr">
        <is>
          <t>-</t>
        </is>
      </c>
      <c r="E129" s="41" t="inlineStr">
        <is>
          <t>-</t>
        </is>
      </c>
      <c r="F129" s="41" t="inlineStr">
        <is>
          <t>週次</t>
        </is>
      </c>
      <c r="G129" s="41" t="inlineStr">
        <is>
          <t>P3</t>
        </is>
      </c>
    </row>
    <row r="130">
      <c r="A130" s="41" t="inlineStr">
        <is>
          <t>q_speaker_confidence_aria_announce</t>
        </is>
      </c>
      <c r="B130" s="41" t="inlineStr">
        <is>
          <t>{citation_id, new_confidence}</t>
        </is>
      </c>
      <c r="C130" s="41" t="inlineStr">
        <is>
          <t>aria-live通知発火(NF3-A11Y-1)</t>
        </is>
      </c>
      <c r="D130" s="41" t="inlineStr">
        <is>
          <t>-</t>
        </is>
      </c>
      <c r="E130" s="41" t="inlineStr">
        <is>
          <t>-</t>
        </is>
      </c>
      <c r="F130" s="41" t="inlineStr">
        <is>
          <t>再識別完了</t>
        </is>
      </c>
      <c r="G130" s="41" t="inlineStr">
        <is>
          <t>P3</t>
        </is>
      </c>
    </row>
    <row r="131">
      <c r="A131" s="41" t="inlineStr">
        <is>
          <t>q_away_heuristic_detect(改v2.5)</t>
        </is>
      </c>
      <c r="B131" s="41" t="inlineStr">
        <is>
          <t>-</t>
        </is>
      </c>
      <c r="C131" s="41" t="inlineStr">
        <is>
          <t>en-US/zh-CN regex+LLM分類追加, confidence&gt;=0.7閾値(NF3-S2-1)</t>
        </is>
      </c>
      <c r="D131" s="41" t="inlineStr">
        <is>
          <t>-</t>
        </is>
      </c>
      <c r="E131" s="41" t="inlineStr">
        <is>
          <t>-</t>
        </is>
      </c>
      <c r="F131" s="41" t="inlineStr">
        <is>
          <t>日次</t>
        </is>
      </c>
      <c r="G131" s="41" t="inlineStr">
        <is>
          <t>P2</t>
        </is>
      </c>
    </row>
    <row r="132">
      <c r="A132" s="41" t="inlineStr">
        <is>
          <t>q_pre_consent_buffer_extend</t>
        </is>
      </c>
      <c r="B132" s="41" t="inlineStr">
        <is>
          <t>{buffer_id, by_user_id, reason}</t>
        </is>
      </c>
      <c r="C132" s="41" t="inlineStr">
        <is>
          <t>verbal_proof再延長(最大3回)(NF3-S4-1)</t>
        </is>
      </c>
      <c r="D132" s="41" t="inlineStr">
        <is>
          <t>-</t>
        </is>
      </c>
      <c r="E132" s="41" t="inlineStr">
        <is>
          <t>yes</t>
        </is>
      </c>
      <c r="F132" s="41" t="inlineStr">
        <is>
          <t>オンデマンド</t>
        </is>
      </c>
      <c r="G132" s="41" t="inlineStr">
        <is>
          <t>P2</t>
        </is>
      </c>
    </row>
  </sheetData>
  <mergeCells count="1">
    <mergeCell ref="A20:G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30" customWidth="1" style="27" min="2" max="2"/>
    <col width="100" customWidth="1" style="27" min="3" max="3"/>
    <col width="30" customWidth="1" style="27" min="4" max="4"/>
    <col width="35" customWidth="1" style="27" min="5" max="5"/>
    <col width="50" customWidth="1" style="27" min="6" max="6"/>
    <col width="6" customWidth="1" style="27" min="7" max="7"/>
  </cols>
  <sheetData>
    <row r="1" ht="24" customHeight="1" s="28">
      <c r="A1" s="29" t="inlineStr">
        <is>
          <t>外部API統合仕様</t>
        </is>
      </c>
    </row>
    <row r="3" ht="27.75" customHeight="1" s="28">
      <c r="A3" s="34" t="inlineStr">
        <is>
          <t>サービス</t>
        </is>
      </c>
      <c r="B3" s="34" t="inlineStr">
        <is>
          <t>用途</t>
        </is>
      </c>
      <c r="C3" s="34" t="inlineStr">
        <is>
          <t>認証方式</t>
        </is>
      </c>
      <c r="D3" s="34" t="inlineStr">
        <is>
          <t>必要スコープ</t>
        </is>
      </c>
      <c r="E3" s="34" t="inlineStr">
        <is>
          <t>主要エンドポイント</t>
        </is>
      </c>
      <c r="F3" s="34" t="inlineStr">
        <is>
          <t>注意点</t>
        </is>
      </c>
      <c r="G3" s="37" t="inlineStr">
        <is>
          <t>Phase</t>
        </is>
      </c>
    </row>
    <row r="4" ht="46.25" customHeight="1" s="28">
      <c r="A4" s="35" t="inlineStr">
        <is>
          <t>Google Vision API</t>
        </is>
      </c>
      <c r="B4" s="36" t="inlineStr">
        <is>
          <t>名刺OCR</t>
        </is>
      </c>
      <c r="C4" s="36" t="inlineStr">
        <is>
          <t>サービスアカウントJSON</t>
        </is>
      </c>
      <c r="D4" s="35" t="inlineStr">
        <is>
          <t>cloud-platform</t>
        </is>
      </c>
      <c r="E4" s="35" t="inlineStr">
        <is>
          <t>documents:annotate (DOCUMENT_TEXT_DETECTION)</t>
        </is>
      </c>
      <c r="F4" s="36" t="inlineStr">
        <is>
          <t>日本語高精度。月1000件まで無料。1名刺画像で1リクエスト想定</t>
        </is>
      </c>
      <c r="G4" s="35" t="inlineStr">
        <is>
          <t>P1</t>
        </is>
      </c>
    </row>
    <row r="5" ht="57.45" customHeight="1" s="28">
      <c r="A5" s="35" t="inlineStr">
        <is>
          <t>Google Calendar API</t>
        </is>
      </c>
      <c r="B5" s="36" t="inlineStr">
        <is>
          <t>空き枠取得・予定作成</t>
        </is>
      </c>
      <c r="C5" s="35" t="inlineStr">
        <is>
          <t>OAuth2(各ユーザー)</t>
        </is>
      </c>
      <c r="D5" s="35" t="inlineStr">
        <is>
          <t>https://www.googleapis.com/auth/calendar</t>
        </is>
      </c>
      <c r="E5" s="35" t="inlineStr">
        <is>
          <t>freebusy.query, events.insert, events.update, events.delete</t>
        </is>
      </c>
      <c r="F5" s="36" t="inlineStr">
        <is>
          <t>同席者の空き枠AND取得は freebusy.query に複数 calendarId</t>
        </is>
      </c>
      <c r="G5" s="35" t="inlineStr">
        <is>
          <t>P2</t>
        </is>
      </c>
    </row>
    <row r="6" ht="29.85" customHeight="1" s="28">
      <c r="A6" s="35" t="inlineStr">
        <is>
          <t>Gmail API</t>
        </is>
      </c>
      <c r="B6" s="36" t="inlineStr">
        <is>
          <t>メール送受信</t>
        </is>
      </c>
      <c r="C6" s="35" t="inlineStr">
        <is>
          <t>OAuth2(各ユーザー)</t>
        </is>
      </c>
      <c r="D6" s="35" t="inlineStr">
        <is>
          <t>gmail.send, gmail.readonly, gmail.modify</t>
        </is>
      </c>
      <c r="E6" s="35" t="inlineStr">
        <is>
          <t>users.messages.send, users.history.list, users.messages.get, users.watch</t>
        </is>
      </c>
      <c r="F6" s="36" t="inlineStr">
        <is>
          <t>送信は認証ユーザーのアドレスから。受信は users.watch + Pub/Sub topic で履歴監視</t>
        </is>
      </c>
      <c r="G6" s="35" t="inlineStr">
        <is>
          <t>P2</t>
        </is>
      </c>
    </row>
    <row r="7" ht="68.65000000000001" customHeight="1" s="28">
      <c r="A7" s="35" t="inlineStr">
        <is>
          <t>Google Cloud Pub/Sub</t>
        </is>
      </c>
      <c r="B7" s="35" t="inlineStr">
        <is>
          <t>Gmail 受信通知</t>
        </is>
      </c>
      <c r="C7" s="36" t="inlineStr">
        <is>
          <t>サービスアカウント</t>
        </is>
      </c>
      <c r="D7" s="35" t="inlineStr">
        <is>
          <t>pubsub.subscriber</t>
        </is>
      </c>
      <c r="E7" s="35" t="inlineStr">
        <is>
          <t>topic作成、users.watch から呼ばせる</t>
        </is>
      </c>
      <c r="F7" s="35" t="inlineStr">
        <is>
          <t>PushサブスクリプションでNext.jsの/api/webhooks/gmailへ。JWT検証必須</t>
        </is>
      </c>
      <c r="G7" s="35" t="inlineStr">
        <is>
          <t>P2</t>
        </is>
      </c>
    </row>
    <row r="8" ht="35.05" customHeight="1" s="28">
      <c r="A8" s="35" t="inlineStr">
        <is>
          <t>Zoom API</t>
        </is>
      </c>
      <c r="B8" s="36" t="inlineStr">
        <is>
          <t>録画取得・ミーティング作成</t>
        </is>
      </c>
      <c r="C8" s="35" t="inlineStr">
        <is>
          <t>Server-to-Server OAuth</t>
        </is>
      </c>
      <c r="D8" s="35" t="inlineStr">
        <is>
          <t>recording:read:admin, meeting:write:admin, user:read:admin</t>
        </is>
      </c>
      <c r="E8" s="35" t="inlineStr">
        <is>
          <t>meetings (POST), recordings (GET), webhooks</t>
        </is>
      </c>
      <c r="F8" s="35" t="inlineStr">
        <is>
          <t>recording.completed イベントで自動取り込み。Webhook署名検証必須</t>
        </is>
      </c>
      <c r="G8" s="35" t="inlineStr">
        <is>
          <t>P1</t>
        </is>
      </c>
    </row>
    <row r="9" ht="57.45" customHeight="1" s="28">
      <c r="A9" s="35" t="inlineStr">
        <is>
          <t>Anthropic Claude API</t>
        </is>
      </c>
      <c r="B9" s="36" t="inlineStr">
        <is>
          <t>要約・抽出・ロープレ・OCR後処理</t>
        </is>
      </c>
      <c r="C9" s="35" t="inlineStr">
        <is>
          <t>API Key</t>
        </is>
      </c>
      <c r="D9" s="35" t="inlineStr">
        <is>
          <t>-</t>
        </is>
      </c>
      <c r="E9" s="35" t="inlineStr">
        <is>
          <t>messages (claude-sonnet-4-5)</t>
        </is>
      </c>
      <c r="F9" s="36" t="inlineStr">
        <is>
          <t>日本語商談要約・構造化抽出が強い。プロンプトキャッシング推奨</t>
        </is>
      </c>
      <c r="G9" s="35" t="inlineStr">
        <is>
          <t>P1</t>
        </is>
      </c>
    </row>
    <row r="10" ht="57.45" customHeight="1" s="28">
      <c r="A10" s="35" t="inlineStr">
        <is>
          <t>OpenAI Embeddings</t>
        </is>
      </c>
      <c r="B10" s="36" t="inlineStr">
        <is>
          <t>ベクトル生成</t>
        </is>
      </c>
      <c r="C10" s="35" t="inlineStr">
        <is>
          <t>API Key</t>
        </is>
      </c>
      <c r="D10" s="35" t="inlineStr">
        <is>
          <t>-</t>
        </is>
      </c>
      <c r="E10" s="35" t="inlineStr">
        <is>
          <t>embeddings (text-embedding-3-small)</t>
        </is>
      </c>
      <c r="F10" s="35" t="inlineStr">
        <is>
          <t>1536次元、$0.02/1M tokens で安価</t>
        </is>
      </c>
      <c r="G10" s="35" t="inlineStr">
        <is>
          <t>P1</t>
        </is>
      </c>
    </row>
    <row r="11" ht="46.25" customHeight="1" s="28">
      <c r="A11" s="35" t="inlineStr">
        <is>
          <t>OpenAI Whisper</t>
        </is>
      </c>
      <c r="B11" s="36" t="inlineStr">
        <is>
          <t>文字起こし補完</t>
        </is>
      </c>
      <c r="C11" s="35" t="inlineStr">
        <is>
          <t>API Key</t>
        </is>
      </c>
      <c r="D11" s="35" t="inlineStr">
        <is>
          <t>-</t>
        </is>
      </c>
      <c r="E11" s="35" t="inlineStr">
        <is>
          <t>audio.transcriptions</t>
        </is>
      </c>
      <c r="F11" s="35" t="inlineStr">
        <is>
          <t>Zoomの文字起こしが不十分な時のみ。$0.006/分</t>
        </is>
      </c>
      <c r="G11" s="35" t="inlineStr">
        <is>
          <t>P1</t>
        </is>
      </c>
    </row>
    <row r="12" ht="35.05" customHeight="1" s="28">
      <c r="A12" s="35" t="inlineStr">
        <is>
          <t>Cloudflare R2</t>
        </is>
      </c>
      <c r="B12" s="36" t="inlineStr">
        <is>
          <t>動画ストレージ</t>
        </is>
      </c>
      <c r="C12" s="35" t="inlineStr">
        <is>
          <t>S3互換APIキー</t>
        </is>
      </c>
      <c r="D12" s="35" t="inlineStr">
        <is>
          <t>-</t>
        </is>
      </c>
      <c r="E12" s="35" t="inlineStr">
        <is>
          <t>s3:PutObject, s3:GetObject, s3:DeleteObject</t>
        </is>
      </c>
      <c r="F12" s="36" t="inlineStr">
        <is>
          <t>エグレス無料が決定的。バケット名はprivate-recordings</t>
        </is>
      </c>
      <c r="G12" s="35" t="inlineStr">
        <is>
          <t>P1</t>
        </is>
      </c>
    </row>
    <row r="13" ht="46.25" customHeight="1" s="28">
      <c r="A13" s="35" t="inlineStr">
        <is>
          <t>Supabase Storage</t>
        </is>
      </c>
      <c r="B13" s="36" t="inlineStr">
        <is>
          <t>画像・資料</t>
        </is>
      </c>
      <c r="C13" s="35" t="inlineStr">
        <is>
          <t>service_role / RLS</t>
        </is>
      </c>
      <c r="D13" s="35" t="inlineStr">
        <is>
          <t>-</t>
        </is>
      </c>
      <c r="E13" s="36" t="inlineStr">
        <is>
          <t>バケット: business-cards(private), documents(private)</t>
        </is>
      </c>
      <c r="F13" s="35" t="inlineStr">
        <is>
          <t>RLS をバケットレベルで有効化</t>
        </is>
      </c>
      <c r="G13" s="35" t="inlineStr">
        <is>
          <t>P1</t>
        </is>
      </c>
    </row>
    <row r="14" ht="71.59999999999999" customHeight="1" s="28">
      <c r="A14" s="35" t="inlineStr">
        <is>
          <t>Resend (推奨) or SendGrid</t>
        </is>
      </c>
      <c r="B14" s="36" t="inlineStr">
        <is>
          <t>システム通知メール</t>
        </is>
      </c>
      <c r="C14" s="35" t="inlineStr">
        <is>
          <t>API Key</t>
        </is>
      </c>
      <c r="D14" s="35" t="inlineStr">
        <is>
          <t>-</t>
        </is>
      </c>
      <c r="E14" s="36" t="inlineStr">
        <is>
          <t>メール送信</t>
        </is>
      </c>
      <c r="F14" s="36" t="inlineStr">
        <is>
          <t>招待・上限通知などシステム発信用。営業の対顧客メールには使わない</t>
        </is>
      </c>
      <c r="G14" s="35" t="inlineStr">
        <is>
          <t>P1</t>
        </is>
      </c>
    </row>
    <row r="16" ht="21.75" customHeight="1" s="28">
      <c r="A16" s="47" t="inlineStr">
        <is>
          <t>■ Zoom録画取り込みフロー(P1の最重要パス)</t>
        </is>
      </c>
    </row>
    <row r="17" ht="27.75" customHeight="1" s="28">
      <c r="A17" s="37" t="inlineStr">
        <is>
          <t>#</t>
        </is>
      </c>
      <c r="B17" s="34" t="inlineStr">
        <is>
          <t>ステップ</t>
        </is>
      </c>
      <c r="C17" s="34" t="inlineStr">
        <is>
          <t>詳細</t>
        </is>
      </c>
    </row>
    <row r="18" ht="29.85" customHeight="1" s="28">
      <c r="A18" s="35" t="inlineStr">
        <is>
          <t>1</t>
        </is>
      </c>
      <c r="B18" s="35" t="inlineStr">
        <is>
          <t>Zoom側で会議終了→クラウド録画完了</t>
        </is>
      </c>
      <c r="C18" s="35" t="inlineStr">
        <is>
          <t>recording.completed Webhook が発火</t>
        </is>
      </c>
    </row>
    <row r="19" ht="15" customHeight="1" s="28">
      <c r="A19" s="35" t="inlineStr">
        <is>
          <t>2</t>
        </is>
      </c>
      <c r="B19" s="35" t="inlineStr">
        <is>
          <t>/api/webhooks/zoom が受信</t>
        </is>
      </c>
      <c r="C19" s="36" t="inlineStr">
        <is>
          <t>署名(x-zm-signature)検証、payloadから zoom_meeting_id, recording_id, download_url, download_token 抽出</t>
        </is>
      </c>
    </row>
    <row r="20" ht="15" customHeight="1" s="28">
      <c r="A20" s="35" t="inlineStr">
        <is>
          <t>3</t>
        </is>
      </c>
      <c r="B20" s="35" t="inlineStr">
        <is>
          <t>meetings レコード引き当て</t>
        </is>
      </c>
      <c r="C20" s="35" t="inlineStr">
        <is>
          <t>zoom_meeting_id でlookup。なければ owner 不明で「未紐付け」状態で作成し管理者通知</t>
        </is>
      </c>
    </row>
    <row r="21" ht="15" customHeight="1" s="28">
      <c r="A21" s="35" t="inlineStr">
        <is>
          <t>4</t>
        </is>
      </c>
      <c r="B21" s="35" t="inlineStr">
        <is>
          <t>recordings レコード作成</t>
        </is>
      </c>
      <c r="C21" s="35" t="inlineStr">
        <is>
          <t>processing_status=pending、zoom_recording_id でユニーク制約(冪等性)</t>
        </is>
      </c>
    </row>
    <row r="22" ht="29.85" customHeight="1" s="28">
      <c r="A22" s="35" t="inlineStr">
        <is>
          <t>5</t>
        </is>
      </c>
      <c r="B22" s="35" t="inlineStr">
        <is>
          <t>pgmq:process_recording へジョブ投入</t>
        </is>
      </c>
      <c r="C22" s="36" t="inlineStr">
        <is>
          <t>即座に200を返却(Zoomは3秒以内のレスポンス必要)</t>
        </is>
      </c>
    </row>
    <row r="23" ht="15" customHeight="1" s="28">
      <c r="A23" s="35" t="inlineStr">
        <is>
          <t>6</t>
        </is>
      </c>
      <c r="B23" s="35" t="inlineStr">
        <is>
          <t>Worker が pickup</t>
        </is>
      </c>
      <c r="C23" s="35" t="inlineStr">
        <is>
          <t>processing_status=downloading に更新</t>
        </is>
      </c>
    </row>
    <row r="24" ht="15" customHeight="1" s="28">
      <c r="A24" s="35" t="inlineStr">
        <is>
          <t>7</t>
        </is>
      </c>
      <c r="B24" s="36" t="inlineStr">
        <is>
          <t>動画+VTT ダウンロード</t>
        </is>
      </c>
      <c r="C24" s="35" t="inlineStr">
        <is>
          <t>download_url + ?access_token=download_token でストリーミング取得</t>
        </is>
      </c>
    </row>
    <row r="25" ht="15" customHeight="1" s="28">
      <c r="A25" s="35" t="inlineStr">
        <is>
          <t>8</t>
        </is>
      </c>
      <c r="B25" s="35" t="inlineStr">
        <is>
          <t>R2 アップロード</t>
        </is>
      </c>
      <c r="C25" s="36" t="inlineStr">
        <is>
          <t>マルチパートアップロード(&gt;100MB対応)</t>
        </is>
      </c>
    </row>
    <row r="26" ht="15" customHeight="1" s="28">
      <c r="A26" s="35" t="inlineStr">
        <is>
          <t>9</t>
        </is>
      </c>
      <c r="B26" s="35" t="inlineStr">
        <is>
          <t>VTT パース</t>
        </is>
      </c>
      <c r="C26" s="35" t="inlineStr">
        <is>
          <t>speaker, start, end, text の配列にパース</t>
        </is>
      </c>
    </row>
    <row r="27" ht="15" customHeight="1" s="28">
      <c r="A27" s="35" t="inlineStr">
        <is>
          <t>10</t>
        </is>
      </c>
      <c r="B27" s="36" t="inlineStr">
        <is>
          <t>同席者ラベル付け</t>
        </is>
      </c>
      <c r="C27" s="35" t="inlineStr">
        <is>
          <t>meeting_attendees から speaker_label を当てる(初回はAIで推定→ユーザーが確定)</t>
        </is>
      </c>
    </row>
    <row r="28" ht="15" customHeight="1" s="28">
      <c r="A28" s="35" t="inlineStr">
        <is>
          <t>11</t>
        </is>
      </c>
      <c r="B28" s="35" t="inlineStr">
        <is>
          <t>Whisper 補完(任意)</t>
        </is>
      </c>
      <c r="C28" s="35" t="inlineStr">
        <is>
          <t>VTTのconfidence低い区間のみ再文字起こし</t>
        </is>
      </c>
    </row>
    <row r="29" ht="15" customHeight="1" s="28">
      <c r="A29" s="35" t="inlineStr">
        <is>
          <t>12</t>
        </is>
      </c>
      <c r="B29" s="35" t="inlineStr">
        <is>
          <t>processing_status=analyzing</t>
        </is>
      </c>
      <c r="C29" s="35" t="inlineStr">
        <is>
          <t>Claude に投入開始</t>
        </is>
      </c>
    </row>
    <row r="30" ht="15" customHeight="1" s="28">
      <c r="A30" s="35" t="inlineStr">
        <is>
          <t>13</t>
        </is>
      </c>
      <c r="B30" s="35" t="inlineStr">
        <is>
          <t>Claude で抽出</t>
        </is>
      </c>
      <c r="C30" s="35" t="inlineStr">
        <is>
          <t>summary, key_points, customer_needs, objections, commitments, next_actions を JSON Schema 強制で抽出</t>
        </is>
      </c>
    </row>
    <row r="31" ht="15" customHeight="1" s="28">
      <c r="A31" s="35" t="inlineStr">
        <is>
          <t>14</t>
        </is>
      </c>
      <c r="B31" s="35" t="inlineStr">
        <is>
          <t>processing_status=embedding</t>
        </is>
      </c>
      <c r="C31" s="36" t="inlineStr">
        <is>
          <t>チャンク分割(800トークン)</t>
        </is>
      </c>
    </row>
    <row r="32" ht="15" customHeight="1" s="28">
      <c r="A32" s="35" t="inlineStr">
        <is>
          <t>15</t>
        </is>
      </c>
      <c r="B32" s="35" t="inlineStr">
        <is>
          <t>OpenAI Embeddings 一括生成</t>
        </is>
      </c>
      <c r="C32" s="36" t="inlineStr">
        <is>
          <t>バッチ最大2048チャンク</t>
        </is>
      </c>
    </row>
    <row r="33" ht="15" customHeight="1" s="28">
      <c r="A33" s="35" t="inlineStr">
        <is>
          <t>16</t>
        </is>
      </c>
      <c r="B33" s="35" t="inlineStr">
        <is>
          <t>knowledge_embeddings 保存</t>
        </is>
      </c>
      <c r="C33" s="35" t="inlineStr">
        <is>
          <t>source_type=recording_segment, metadata={meeting_stage, industry, speaker}</t>
        </is>
      </c>
    </row>
    <row r="34" ht="15" customHeight="1" s="28">
      <c r="A34" s="35" t="inlineStr">
        <is>
          <t>17</t>
        </is>
      </c>
      <c r="B34" s="35" t="inlineStr">
        <is>
          <t>processing_status=completed</t>
        </is>
      </c>
      <c r="C34" s="36" t="inlineStr">
        <is>
          <t>通知作成、所有者にWebhook+メール通知</t>
        </is>
      </c>
    </row>
    <row r="35" ht="15" customHeight="1" s="28">
      <c r="A35" s="35" t="inlineStr">
        <is>
          <t>18</t>
        </is>
      </c>
      <c r="B35" s="36" t="inlineStr">
        <is>
          <t>失敗時</t>
        </is>
      </c>
      <c r="C35" s="35" t="inlineStr">
        <is>
          <t>processing_status=failed, processing_error にスタックトレース、Slack通知(管理者)、ジョブはアーカイブへ</t>
        </is>
      </c>
    </row>
    <row r="37">
      <c r="A37" s="41" t="inlineStr">
        <is>
          <t>■ 追加外部統合(v2)</t>
        </is>
      </c>
      <c r="B37" s="41" t="n"/>
      <c r="C37" s="41" t="n"/>
      <c r="D37" s="41" t="n"/>
      <c r="E37" s="41" t="n"/>
      <c r="F37" s="41" t="n"/>
      <c r="G37" s="41" t="n"/>
    </row>
    <row r="38">
      <c r="A38" s="41" t="inlineStr">
        <is>
          <t>サービス</t>
        </is>
      </c>
      <c r="B38" s="41" t="inlineStr">
        <is>
          <t>用途</t>
        </is>
      </c>
      <c r="C38" s="41" t="inlineStr">
        <is>
          <t>認証</t>
        </is>
      </c>
      <c r="D38" s="41" t="inlineStr">
        <is>
          <t>エンドポイント/SDK</t>
        </is>
      </c>
      <c r="E38" s="41" t="inlineStr">
        <is>
          <t>レート制限</t>
        </is>
      </c>
      <c r="F38" s="41" t="inlineStr">
        <is>
          <t>失敗時挙動</t>
        </is>
      </c>
      <c r="G38" s="41" t="inlineStr">
        <is>
          <t>Phase</t>
        </is>
      </c>
    </row>
    <row r="39">
      <c r="A39" s="41" t="inlineStr">
        <is>
          <t>Google Calendar resource</t>
        </is>
      </c>
      <c r="B39" s="41" t="inlineStr">
        <is>
          <t>会議室予約</t>
        </is>
      </c>
      <c r="C39" s="41" t="inlineStr">
        <is>
          <t>OAuth(scope: calendar)</t>
        </is>
      </c>
      <c r="D39" s="41" t="inlineStr">
        <is>
          <t>admin.directory.resource.calendar</t>
        </is>
      </c>
      <c r="E39" s="41" t="inlineStr">
        <is>
          <t>100/100s</t>
        </is>
      </c>
      <c r="F39" s="41" t="inlineStr">
        <is>
          <t>sync_failure_log+UI badge</t>
        </is>
      </c>
      <c r="G39" s="41" t="inlineStr">
        <is>
          <t>P2</t>
        </is>
      </c>
    </row>
    <row r="40">
      <c r="A40" s="41" t="inlineStr">
        <is>
          <t>Pyannote(セルフホスト)</t>
        </is>
      </c>
      <c r="B40" s="41" t="inlineStr">
        <is>
          <t>話者ダイアリゼーション</t>
        </is>
      </c>
      <c r="C40" s="41" t="inlineStr">
        <is>
          <t>-</t>
        </is>
      </c>
      <c r="D40" s="41" t="inlineStr">
        <is>
          <t>Render Worker(GPU不要)</t>
        </is>
      </c>
      <c r="E40" s="41" t="inlineStr">
        <is>
          <t>内部</t>
        </is>
      </c>
      <c r="F40" s="41" t="inlineStr">
        <is>
          <t>CPU fallback</t>
        </is>
      </c>
      <c r="G40" s="41" t="inlineStr">
        <is>
          <t>P1</t>
        </is>
      </c>
    </row>
    <row r="41">
      <c r="A41" s="41" t="inlineStr">
        <is>
          <t>OpenCV.js / WASM</t>
        </is>
      </c>
      <c r="B41" s="41" t="inlineStr">
        <is>
          <t>名刺自動補正</t>
        </is>
      </c>
      <c r="C41" s="41" t="inlineStr">
        <is>
          <t>-</t>
        </is>
      </c>
      <c r="D41" s="41" t="inlineStr">
        <is>
          <t>クライアント</t>
        </is>
      </c>
      <c r="E41" s="41" t="inlineStr">
        <is>
          <t>-</t>
        </is>
      </c>
      <c r="F41" s="41" t="inlineStr">
        <is>
          <t>手動補正へfallback</t>
        </is>
      </c>
      <c r="G41" s="41" t="inlineStr">
        <is>
          <t>P1</t>
        </is>
      </c>
    </row>
    <row r="42">
      <c r="A42" s="41" t="inlineStr">
        <is>
          <t>Whisper(セルフホスト or OpenAI)</t>
        </is>
      </c>
      <c r="B42" s="41" t="inlineStr">
        <is>
          <t>音声→文字</t>
        </is>
      </c>
      <c r="C42" s="41" t="inlineStr">
        <is>
          <t>-</t>
        </is>
      </c>
      <c r="D42" s="41" t="inlineStr">
        <is>
          <t>Render Worker</t>
        </is>
      </c>
      <c r="E42" s="41" t="inlineStr">
        <is>
          <t>内部 or 50RPM</t>
        </is>
      </c>
      <c r="F42" s="41" t="inlineStr">
        <is>
          <t>retry 2</t>
        </is>
      </c>
      <c r="G42" s="41" t="inlineStr">
        <is>
          <t>P1</t>
        </is>
      </c>
    </row>
    <row r="43">
      <c r="A43" s="41" t="inlineStr">
        <is>
          <t>Web Push (VAPID)</t>
        </is>
      </c>
      <c r="B43" s="41" t="inlineStr">
        <is>
          <t>ブラウザ通知</t>
        </is>
      </c>
      <c r="C43" s="41" t="inlineStr">
        <is>
          <t>VAPID</t>
        </is>
      </c>
      <c r="D43" s="41" t="inlineStr">
        <is>
          <t>Service Worker</t>
        </is>
      </c>
      <c r="E43" s="41" t="inlineStr">
        <is>
          <t>-</t>
        </is>
      </c>
      <c r="F43" s="41" t="inlineStr">
        <is>
          <t>Slack fallback</t>
        </is>
      </c>
      <c r="G43" s="41" t="inlineStr">
        <is>
          <t>P2</t>
        </is>
      </c>
    </row>
    <row r="44">
      <c r="A44" s="41" t="inlineStr">
        <is>
          <t>Sansan API(任意)</t>
        </is>
      </c>
      <c r="B44" s="41" t="inlineStr">
        <is>
          <t>名刺移行</t>
        </is>
      </c>
      <c r="C44" s="41" t="inlineStr">
        <is>
          <t>API Key</t>
        </is>
      </c>
      <c r="D44" s="41" t="inlineStr">
        <is>
          <t>https://api.sansan.com/v3</t>
        </is>
      </c>
      <c r="E44" s="41" t="inlineStr">
        <is>
          <t>-</t>
        </is>
      </c>
      <c r="F44" s="41" t="inlineStr">
        <is>
          <t>CSV手動fallback</t>
        </is>
      </c>
      <c r="G44" s="41" t="inlineStr">
        <is>
          <t>P2</t>
        </is>
      </c>
    </row>
    <row r="45">
      <c r="A45" s="41" t="inlineStr">
        <is>
          <t>Zoom Webhook (recording.completed/started/ended)</t>
        </is>
      </c>
      <c r="B45" s="41" t="inlineStr">
        <is>
          <t>録画/録画同意</t>
        </is>
      </c>
      <c r="C45" s="41" t="inlineStr">
        <is>
          <t>Webhook secret</t>
        </is>
      </c>
      <c r="D45" s="41" t="inlineStr">
        <is>
          <t>-</t>
        </is>
      </c>
      <c r="E45" s="41" t="inlineStr">
        <is>
          <t>-</t>
        </is>
      </c>
      <c r="F45" s="41" t="inlineStr">
        <is>
          <t>retry+DLQ</t>
        </is>
      </c>
      <c r="G45" s="41" t="inlineStr">
        <is>
          <t>P1</t>
        </is>
      </c>
    </row>
    <row r="46">
      <c r="A46" s="41" t="inlineStr">
        <is>
          <t>Slack</t>
        </is>
      </c>
      <c r="B46" s="41" t="inlineStr">
        <is>
          <t>内部通知/承諾フロー</t>
        </is>
      </c>
      <c r="C46" s="41" t="inlineStr">
        <is>
          <t>Bot Token</t>
        </is>
      </c>
      <c r="D46" s="41" t="inlineStr">
        <is>
          <t>-</t>
        </is>
      </c>
      <c r="E46" s="41" t="inlineStr">
        <is>
          <t>1MPS</t>
        </is>
      </c>
      <c r="F46" s="41" t="inlineStr">
        <is>
          <t>Email fallback</t>
        </is>
      </c>
      <c r="G46" s="41" t="inlineStr">
        <is>
          <t>P2</t>
        </is>
      </c>
    </row>
    <row r="47">
      <c r="A47" s="41" t="inlineStr">
        <is>
          <t>Maps Places</t>
        </is>
      </c>
      <c r="B47" s="41" t="inlineStr">
        <is>
          <t>対面商談住所autocomplete</t>
        </is>
      </c>
      <c r="C47" s="41" t="inlineStr">
        <is>
          <t>API Key</t>
        </is>
      </c>
      <c r="D47" s="41" t="inlineStr">
        <is>
          <t>Places API</t>
        </is>
      </c>
      <c r="E47" s="41" t="inlineStr">
        <is>
          <t>6000QPM</t>
        </is>
      </c>
      <c r="F47" s="41" t="inlineStr">
        <is>
          <t>入力のみのfallback</t>
        </is>
      </c>
      <c r="G47" s="41" t="inlineStr">
        <is>
          <t>P2</t>
        </is>
      </c>
    </row>
    <row r="48">
      <c r="A48" s="41" t="inlineStr">
        <is>
          <t>Cloudflare R2(東京リージョン)</t>
        </is>
      </c>
      <c r="B48" s="41" t="inlineStr">
        <is>
          <t>データ保管</t>
        </is>
      </c>
      <c r="C48" s="41" t="inlineStr">
        <is>
          <t>S3-compat</t>
        </is>
      </c>
      <c r="D48" s="41" t="inlineStr">
        <is>
          <t>wnam-region指定</t>
        </is>
      </c>
      <c r="E48" s="41" t="inlineStr">
        <is>
          <t>-</t>
        </is>
      </c>
      <c r="F48" s="41" t="inlineStr">
        <is>
          <t>-</t>
        </is>
      </c>
      <c r="G48" s="41" t="inlineStr">
        <is>
          <t>P1</t>
        </is>
      </c>
    </row>
    <row r="49">
      <c r="A49" s="41" t="inlineStr">
        <is>
          <t>Supabase Vault</t>
        </is>
      </c>
      <c r="B49" s="41" t="inlineStr">
        <is>
          <t>OAuthトークン暗号化</t>
        </is>
      </c>
      <c r="C49" s="41" t="inlineStr">
        <is>
          <t>-</t>
        </is>
      </c>
      <c r="D49" s="41" t="inlineStr">
        <is>
          <t>-</t>
        </is>
      </c>
      <c r="E49" s="41" t="inlineStr">
        <is>
          <t>-</t>
        </is>
      </c>
      <c r="F49" s="41" t="inlineStr">
        <is>
          <t>-</t>
        </is>
      </c>
      <c r="G49" s="41" t="inlineStr">
        <is>
          <t>P1</t>
        </is>
      </c>
    </row>
    <row r="50">
      <c r="A50" s="41" t="inlineStr">
        <is>
          <t>Supabase Realtime</t>
        </is>
      </c>
      <c r="B50" s="41" t="inlineStr">
        <is>
          <t>複数デバイス同期</t>
        </is>
      </c>
      <c r="C50" s="41" t="inlineStr">
        <is>
          <t>JWT</t>
        </is>
      </c>
      <c r="D50" s="41" t="inlineStr">
        <is>
          <t>Channels</t>
        </is>
      </c>
      <c r="E50" s="41" t="inlineStr">
        <is>
          <t>100conn</t>
        </is>
      </c>
      <c r="F50" s="41" t="inlineStr">
        <is>
          <t>reconnect</t>
        </is>
      </c>
      <c r="G50" s="41" t="inlineStr">
        <is>
          <t>P2</t>
        </is>
      </c>
    </row>
    <row r="51">
      <c r="A51" s="41" t="inlineStr">
        <is>
          <t>Supabase PITR</t>
        </is>
      </c>
      <c r="B51" s="41" t="inlineStr">
        <is>
          <t>Point-in-time-recovery</t>
        </is>
      </c>
      <c r="C51" s="41" t="inlineStr">
        <is>
          <t>-</t>
        </is>
      </c>
      <c r="D51" s="41" t="inlineStr">
        <is>
          <t>Pro plan</t>
        </is>
      </c>
      <c r="E51" s="41" t="inlineStr">
        <is>
          <t>-</t>
        </is>
      </c>
      <c r="F51" s="41" t="inlineStr">
        <is>
          <t>-</t>
        </is>
      </c>
      <c r="G51" s="41" t="inlineStr">
        <is>
          <t>P2</t>
        </is>
      </c>
    </row>
    <row r="52">
      <c r="A52" s="41" t="inlineStr">
        <is>
          <t>Helpscout/Intercom(任意)</t>
        </is>
      </c>
      <c r="B52" s="41" t="inlineStr">
        <is>
          <t>ヘルプセンター埋込</t>
        </is>
      </c>
      <c r="C52" s="41" t="inlineStr">
        <is>
          <t>-</t>
        </is>
      </c>
      <c r="D52" s="41" t="inlineStr">
        <is>
          <t>Widget</t>
        </is>
      </c>
      <c r="E52" s="41" t="inlineStr">
        <is>
          <t>-</t>
        </is>
      </c>
      <c r="F52" s="41" t="inlineStr">
        <is>
          <t>内製/help fallback</t>
        </is>
      </c>
      <c r="G52" s="41" t="inlineStr">
        <is>
          <t>P2</t>
        </is>
      </c>
    </row>
    <row r="53">
      <c r="A53" s="41" t="inlineStr">
        <is>
          <t>Sentry</t>
        </is>
      </c>
      <c r="B53" s="41" t="inlineStr">
        <is>
          <t>エラートラッキング</t>
        </is>
      </c>
      <c r="C53" s="41" t="inlineStr">
        <is>
          <t>DSN</t>
        </is>
      </c>
      <c r="D53" s="41" t="inlineStr">
        <is>
          <t>SDK</t>
        </is>
      </c>
      <c r="E53" s="41" t="inlineStr">
        <is>
          <t>-</t>
        </is>
      </c>
      <c r="F53" s="41" t="inlineStr">
        <is>
          <t>-</t>
        </is>
      </c>
      <c r="G53" s="41" t="inlineStr">
        <is>
          <t>P1</t>
        </is>
      </c>
    </row>
    <row r="54">
      <c r="A54" s="41" t="inlineStr">
        <is>
          <t>GrowthBook(任意)</t>
        </is>
      </c>
      <c r="B54" s="41" t="inlineStr">
        <is>
          <t>feature flags/AB</t>
        </is>
      </c>
      <c r="C54" s="41" t="inlineStr">
        <is>
          <t>-</t>
        </is>
      </c>
      <c r="D54" s="41" t="inlineStr">
        <is>
          <t>SDK</t>
        </is>
      </c>
      <c r="E54" s="41" t="inlineStr">
        <is>
          <t>-</t>
        </is>
      </c>
      <c r="F54" s="41" t="inlineStr">
        <is>
          <t>DB直管理</t>
        </is>
      </c>
      <c r="G54" s="41" t="inlineStr">
        <is>
          <t>P2</t>
        </is>
      </c>
    </row>
    <row r="56">
      <c r="A56" s="41" t="inlineStr">
        <is>
          <t>■ v2.4 追加(再シミュ残課題)</t>
        </is>
      </c>
      <c r="B56" s="41" t="n"/>
      <c r="C56" s="41" t="n"/>
      <c r="D56" s="41" t="n"/>
      <c r="E56" s="41" t="n"/>
      <c r="F56" s="41" t="n"/>
      <c r="G56" s="41" t="n"/>
    </row>
    <row r="57">
      <c r="A57" s="41" t="inlineStr">
        <is>
          <t>サービス</t>
        </is>
      </c>
      <c r="B57" s="41" t="inlineStr">
        <is>
          <t>用途</t>
        </is>
      </c>
      <c r="C57" s="41" t="inlineStr">
        <is>
          <t>認証</t>
        </is>
      </c>
      <c r="D57" s="41" t="inlineStr">
        <is>
          <t>エンドポイント/SDK</t>
        </is>
      </c>
      <c r="E57" s="41" t="inlineStr">
        <is>
          <t>レート制限</t>
        </is>
      </c>
      <c r="F57" s="41" t="inlineStr">
        <is>
          <t>失敗時挙動</t>
        </is>
      </c>
      <c r="G57" s="41" t="inlineStr">
        <is>
          <t>Phase</t>
        </is>
      </c>
    </row>
    <row r="58">
      <c r="A58" s="41" t="inlineStr">
        <is>
          <t>Google Calendar API 制約(NF-S2-2)</t>
        </is>
      </c>
      <c r="B58" s="41" t="inlineStr">
        <is>
          <t>個別attendee transparency切替不可</t>
        </is>
      </c>
      <c r="C58" s="41" t="inlineStr">
        <is>
          <t>-</t>
        </is>
      </c>
      <c r="D58" s="41" t="inlineStr">
        <is>
          <t>-</t>
        </is>
      </c>
      <c r="E58" s="41" t="inlineStr">
        <is>
          <t>-</t>
        </is>
      </c>
      <c r="F58" s="41" t="inlineStr">
        <is>
          <t>attendees_dimmed時はownerのみtransparent予定+確定時invite発行</t>
        </is>
      </c>
      <c r="G58" s="41" t="inlineStr">
        <is>
          <t>P2</t>
        </is>
      </c>
    </row>
    <row r="59">
      <c r="A59" s="41" t="inlineStr">
        <is>
          <t>DeepL API(任意 NF-UX-1)</t>
        </is>
      </c>
      <c r="B59" s="41" t="inlineStr">
        <is>
          <t>voice memo翻訳</t>
        </is>
      </c>
      <c r="C59" s="41" t="inlineStr">
        <is>
          <t>API Key</t>
        </is>
      </c>
      <c r="D59" s="41" t="inlineStr">
        <is>
          <t>api.deepl.com</t>
        </is>
      </c>
      <c r="E59" s="41" t="inlineStr">
        <is>
          <t>tier依存</t>
        </is>
      </c>
      <c r="F59" s="41" t="inlineStr">
        <is>
          <t>Anthropic Claude fallback</t>
        </is>
      </c>
      <c r="G59" s="41" t="inlineStr">
        <is>
          <t>P3</t>
        </is>
      </c>
    </row>
    <row r="61">
      <c r="A61" s="41" t="inlineStr">
        <is>
          <t>■ v2.5 追加(R3 minor)</t>
        </is>
      </c>
      <c r="B61" s="41" t="n"/>
      <c r="C61" s="41" t="n"/>
      <c r="D61" s="41" t="n"/>
      <c r="E61" s="41" t="n"/>
      <c r="F61" s="41" t="n"/>
      <c r="G61" s="41" t="n"/>
    </row>
    <row r="62">
      <c r="A62" s="41" t="inlineStr">
        <is>
          <t>サービス</t>
        </is>
      </c>
      <c r="B62" s="41" t="inlineStr">
        <is>
          <t>用途</t>
        </is>
      </c>
      <c r="C62" s="41" t="inlineStr">
        <is>
          <t>認証</t>
        </is>
      </c>
      <c r="D62" s="41" t="inlineStr">
        <is>
          <t>エンドポイント/SDK</t>
        </is>
      </c>
      <c r="E62" s="41" t="inlineStr">
        <is>
          <t>レート制限</t>
        </is>
      </c>
      <c r="F62" s="41" t="inlineStr">
        <is>
          <t>失敗時挙動</t>
        </is>
      </c>
      <c r="G62" s="41" t="inlineStr">
        <is>
          <t>Phase</t>
        </is>
      </c>
    </row>
    <row r="63">
      <c r="A63" s="41" t="inlineStr">
        <is>
          <t>人手翻訳ベンダー(任意 NF3-UX-2)</t>
        </is>
      </c>
      <c r="B63" s="41" t="inlineStr">
        <is>
          <t>voice_memo人手翻訳</t>
        </is>
      </c>
      <c r="C63" s="41" t="inlineStr">
        <is>
          <t>API Key or 社内SOP</t>
        </is>
      </c>
      <c r="D63" s="41" t="inlineStr">
        <is>
          <t>-</t>
        </is>
      </c>
      <c r="E63" s="41" t="inlineStr">
        <is>
          <t>-</t>
        </is>
      </c>
      <c r="F63" s="41" t="inlineStr">
        <is>
          <t>SLA超過でadmin通知</t>
        </is>
      </c>
      <c r="G63" s="41" t="inlineStr">
        <is>
          <t>P3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28" customWidth="1" style="27" min="2" max="2"/>
    <col width="22" customWidth="1" style="27" min="3" max="3"/>
    <col width="30" customWidth="1" style="27" min="4" max="5"/>
    <col width="25" customWidth="1" style="27" min="6" max="6"/>
    <col width="90" customWidth="1" style="27" min="7" max="7"/>
  </cols>
  <sheetData>
    <row r="1" ht="24" customHeight="1" s="28">
      <c r="A1" s="45" t="inlineStr">
        <is>
          <t>LLM プロンプト集</t>
        </is>
      </c>
    </row>
    <row r="2" ht="18" customHeight="1" s="28">
      <c r="A2" s="46" t="inlineStr">
        <is>
          <t>Claude Sonnet 4.5 / OpenAI Embeddings</t>
        </is>
      </c>
    </row>
    <row r="4" ht="27.75" customHeight="1" s="28">
      <c r="A4" s="37" t="inlineStr">
        <is>
          <t>ID</t>
        </is>
      </c>
      <c r="B4" s="34" t="inlineStr">
        <is>
          <t>用途</t>
        </is>
      </c>
      <c r="C4" s="34" t="inlineStr">
        <is>
          <t>モデル</t>
        </is>
      </c>
      <c r="D4" s="34" t="inlineStr">
        <is>
          <t>概要</t>
        </is>
      </c>
      <c r="E4" s="34" t="inlineStr">
        <is>
          <t>入力</t>
        </is>
      </c>
      <c r="F4" s="34" t="inlineStr">
        <is>
          <t>出力</t>
        </is>
      </c>
      <c r="G4" s="34" t="inlineStr">
        <is>
          <t>プロンプト</t>
        </is>
      </c>
    </row>
    <row r="5" ht="235.8" customHeight="1" s="28">
      <c r="A5" s="35" t="inlineStr">
        <is>
          <t>PROMPT-01</t>
        </is>
      </c>
      <c r="B5" s="35" t="inlineStr">
        <is>
          <t>recording_summary</t>
        </is>
      </c>
      <c r="C5" s="35" t="inlineStr">
        <is>
          <t>claude-sonnet-4-5</t>
        </is>
      </c>
      <c r="D5" s="36" t="inlineStr">
        <is>
          <t>商談録画の構造化抽出</t>
        </is>
      </c>
      <c r="E5" s="35" t="inlineStr">
        <is>
          <t>recordings.transcript_full + meeting文脈</t>
        </is>
      </c>
      <c r="F5" s="35" t="inlineStr">
        <is>
          <t>JSON: summary, key_points[], customer_needs[], objections[], commitments[], next_actions[]</t>
        </is>
      </c>
      <c r="G5" s="35" t="inlineStr">
        <is>
          <t>system: あなたは経験豊富な営業マネージャーです。商談文字起こしから営業に重要な情報を抽出します。次のJSON Schemaに厳密に従って出力してください。
user: 以下は{{stage}}フェーズの商談文字起こしです。同席者: {{attendees}}。商品: {{product}}。
文字起こし:
{{transcript}}
以下のJSON形式で抽出してください:
{
  "summary": "300字以内の要約",
  "key_points": ["重要ポイント箇条書き"],
  "customer_needs": [{"need": "具体的なニーズ", "priority": "high|medium|low", "evidence": "発言の引用"}],
  "objections": [{"objection": "反論内容", "response": "営業の対応", "resolved": true|false}],
  "commitments": [{"text": "約束事", "speaker": "営業|顧客", "due": "期日 or null", "category": "deliverable|next_meeting|info_share"}],
  "next_actions": [{"action": "次アクション", "owner": "営業|顧客", "due": "期日"}]
}</t>
        </is>
      </c>
    </row>
    <row r="6" ht="212.65" customHeight="1" s="28">
      <c r="A6" s="35" t="inlineStr">
        <is>
          <t>PROMPT-02</t>
        </is>
      </c>
      <c r="B6" s="35" t="inlineStr">
        <is>
          <t>business_card_post_ocr</t>
        </is>
      </c>
      <c r="C6" s="35" t="inlineStr">
        <is>
          <t>claude-sonnet-4-5</t>
        </is>
      </c>
      <c r="D6" s="36" t="inlineStr">
        <is>
          <t>名刺OCR後処理(Vision結果を構造化)</t>
        </is>
      </c>
      <c r="E6" s="35" t="inlineStr">
        <is>
          <t>Vision Document AI raw response</t>
        </is>
      </c>
      <c r="F6" s="35" t="inlineStr">
        <is>
          <t>JSON: name, name_kana, title, company, email, phone, address</t>
        </is>
      </c>
      <c r="G6" s="35" t="inlineStr">
        <is>
          <t>system: 名刺OCR結果を構造化します。日本人名の姓名分離、フリガナ推定、敬称・部署除去を行います。
user: {{vision_raw_text}}
JSON出力:
{
  "name": "氏名(姓名スペース区切り)",
  "name_kana": "推定フリガナ(全角カタカナ)",
  "title": "役職",
  "department": "部署",
  "company": "会社名",
  "email": "...",
  "phone": "...",
  "mobile": "...",
  "address": "...",
  "confidence": 0.0-1.0
}</t>
        </is>
      </c>
    </row>
    <row r="7" ht="217.9" customHeight="1" s="28">
      <c r="A7" s="35" t="inlineStr">
        <is>
          <t>PROMPT-03</t>
        </is>
      </c>
      <c r="B7" s="35" t="inlineStr">
        <is>
          <t>email_reply_parse</t>
        </is>
      </c>
      <c r="C7" s="35" t="inlineStr">
        <is>
          <t>claude-sonnet-4-5</t>
        </is>
      </c>
      <c r="D7" s="36" t="inlineStr">
        <is>
          <t>日程調整返信のパース</t>
        </is>
      </c>
      <c r="E7" s="35" t="inlineStr">
        <is>
          <t>email body + 提示候補日時</t>
        </is>
      </c>
      <c r="F7" s="35" t="inlineStr">
        <is>
          <t>JSON: intent, slot_index, custom_datetime, confidence</t>
        </is>
      </c>
      <c r="G7" s="35" t="inlineStr">
        <is>
          <t>system: 日程調整メールの返信を分類します。曖昧な日本語(「来週火曜の午後」「24日14時で」など)を正規化します。
user: 提示済み候補:
{{proposed_slots}}
返信本文:
{{reply_body}}
意図分類して JSON 出力:
{
  "intent": "accept_existing | counter_propose | reject | unclear | unrelated",
  "selected_slot_index": 0-based or null,
  "counter_proposal": [{"start_at_iso": "...", "end_at_iso": "..."}] or null,
  "needs_human_review": true|false,
  "review_reason": "...",
  "confidence": 0.0-1.0
}</t>
        </is>
      </c>
    </row>
    <row r="8" ht="158.95" customHeight="1" s="28">
      <c r="A8" s="35" t="inlineStr">
        <is>
          <t>PROMPT-04</t>
        </is>
      </c>
      <c r="B8" s="35" t="inlineStr">
        <is>
          <t>document_describe</t>
        </is>
      </c>
      <c r="C8" s="35" t="inlineStr">
        <is>
          <t>claude-sonnet-4-5(vision)</t>
        </is>
      </c>
      <c r="D8" s="36" t="inlineStr">
        <is>
          <t>アップロード資料・画像の説明生成</t>
        </is>
      </c>
      <c r="E8" s="35" t="inlineStr">
        <is>
          <t>image or document text</t>
        </is>
      </c>
      <c r="F8" s="35" t="inlineStr">
        <is>
          <t>{ai_description, ai_tags}</t>
        </is>
      </c>
      <c r="G8" s="35" t="inlineStr">
        <is>
          <t>user: 以下の資料を営業ナレッジに登録します。中身を簡潔に説明し、検索に有用なタグを生成してください。
[image or text]
JSON:
{
  "title_suggestion": "...",
  "ai_description": "200字程度の中身説明",
  "ai_tags": ["タグ1", "タグ2", ...],
  "type_guess": "proposal|case_study|product_brochure|pricing|comparison|other",
  "key_topics": [...]
}</t>
        </is>
      </c>
    </row>
    <row r="9" ht="111.9" customHeight="1" s="28">
      <c r="A9" s="35" t="inlineStr">
        <is>
          <t>PROMPT-05</t>
        </is>
      </c>
      <c r="B9" s="35" t="inlineStr">
        <is>
          <t>roleplay_customer_turn</t>
        </is>
      </c>
      <c r="C9" s="35" t="inlineStr">
        <is>
          <t>claude-sonnet-4-5</t>
        </is>
      </c>
      <c r="D9" s="36" t="inlineStr">
        <is>
          <t>ロープレ顧客役応答</t>
        </is>
      </c>
      <c r="E9" s="35" t="inlineStr">
        <is>
          <t>persona + conversation history</t>
        </is>
      </c>
      <c r="F9" s="35" t="inlineStr">
        <is>
          <t>streaming text</t>
        </is>
      </c>
      <c r="G9" s="35" t="inlineStr">
        <is>
          <t>system: あなたは{{persona.industry}}の{{persona.role}}を演じます。
性格: {{persona.personality}}
抱えている課題: {{persona.pain_points}}
よく出す反論: {{persona.objections}}
話し方: {{persona.speaking_style}}
ロープレ目的: 営業マンの{{stage}}スキルを鍛える。本物の顧客のように振る舞う。簡単に納得しすぎず、一方で理不尽な対応もしない。</t>
        </is>
      </c>
    </row>
    <row r="10" ht="196.25" customHeight="1" s="28">
      <c r="A10" s="35" t="inlineStr">
        <is>
          <t>PROMPT-06</t>
        </is>
      </c>
      <c r="B10" s="35" t="inlineStr">
        <is>
          <t>roleplay_evaluation</t>
        </is>
      </c>
      <c r="C10" s="35" t="inlineStr">
        <is>
          <t>claude-sonnet-4-5</t>
        </is>
      </c>
      <c r="D10" s="36" t="inlineStr">
        <is>
          <t>ロープレ評価</t>
        </is>
      </c>
      <c r="E10" s="35" t="inlineStr">
        <is>
          <t>conversation + scenario.evaluation_criteria</t>
        </is>
      </c>
      <c r="F10" s="35" t="inlineStr">
        <is>
          <t>JSON: rubric_scores, strengths, improvements</t>
        </is>
      </c>
      <c r="G10" s="35" t="inlineStr">
        <is>
          <t>system: ロープレを採点します。
user: シナリオ: {{scenario}}
評価基準: {{rubric}}
会話履歴: {{conversation}}
JSON:
{
  "overall_score": 0-100,
  "rubric_scores": {"ヒアリング": 0-100, "提案": 0-100, ...},
  "strengths": ["強み1", "強み2"],
  "improvements": ["改善点1(具体例付き)", ...],
  "missed_opportunities": ["やればよかったこと"],
  "model_response_examples": ["こう言えばさらに良かった例"]
}</t>
        </is>
      </c>
    </row>
    <row r="11" ht="178.35" customHeight="1" s="28">
      <c r="A11" s="35" t="inlineStr">
        <is>
          <t>PROMPT-07</t>
        </is>
      </c>
      <c r="B11" s="35" t="inlineStr">
        <is>
          <t>roleplay_scenario_generate</t>
        </is>
      </c>
      <c r="C11" s="35" t="inlineStr">
        <is>
          <t>claude-sonnet-4-5</t>
        </is>
      </c>
      <c r="D11" s="36" t="inlineStr">
        <is>
          <t>過去商談からシナリオ生成</t>
        </is>
      </c>
      <c r="E11" s="36" t="inlineStr">
        <is>
          <t>商談録画の抽出データ集約</t>
        </is>
      </c>
      <c r="F11" s="35" t="inlineStr">
        <is>
          <t>Scenario JSON</t>
        </is>
      </c>
      <c r="G11" s="35" t="inlineStr">
        <is>
          <t>user: 以下は実際の商談データです。これに似た顧客像でロープレシナリオを作成してください。
商談抽出データ:
{{aggregated_meetings}}
JSON:
{
  "title": "...",
  "description": "...",
  "persona": {industry, role, personality, pain_points, objections, speaking_style},
  "opening_message": "顧客が最初に言うセリフ",
  "evaluation_criteria": {rubric: [...]},
  "difficulty": "easy|medium|hard",
  "stage": "first|objection|closing"
}</t>
        </is>
      </c>
    </row>
    <row r="12" ht="105.95" customHeight="1" s="28">
      <c r="A12" s="35" t="inlineStr">
        <is>
          <t>PROMPT-08</t>
        </is>
      </c>
      <c r="B12" s="35" t="inlineStr">
        <is>
          <t>knowledge_chat</t>
        </is>
      </c>
      <c r="C12" s="35" t="inlineStr">
        <is>
          <t>claude-sonnet-4-5</t>
        </is>
      </c>
      <c r="D12" s="36" t="inlineStr">
        <is>
          <t>ナレッジ検索チャット</t>
        </is>
      </c>
      <c r="E12" s="35" t="inlineStr">
        <is>
          <t>user query + retrieved chunks</t>
        </is>
      </c>
      <c r="F12" s="35" t="inlineStr">
        <is>
          <t>streaming text + sources</t>
        </is>
      </c>
      <c r="G12" s="35" t="inlineStr">
        <is>
          <t>system: あなたは社内ナレッジアシスタントです。提供された文脈情報のみを根拠に回答し、出典を [1][2] のように明記します。情報が不足していれば「該当する情報が見つかりません」と答えます。憶測で答えないこと。
user: 質問: {{query}}
参考情報:
{{retrieved_chunks_with_indices}}</t>
        </is>
      </c>
    </row>
    <row r="13" ht="203.7" customHeight="1" s="28">
      <c r="A13" s="35" t="inlineStr">
        <is>
          <t>PROMPT-09</t>
        </is>
      </c>
      <c r="B13" s="35" t="inlineStr">
        <is>
          <t>handoff_draft</t>
        </is>
      </c>
      <c r="C13" s="35" t="inlineStr">
        <is>
          <t>claude-sonnet-4-5</t>
        </is>
      </c>
      <c r="D13" s="36" t="inlineStr">
        <is>
          <t>引き継ぎ書ドラフト生成</t>
        </is>
      </c>
      <c r="E13" s="36" t="inlineStr">
        <is>
          <t>関連商談+契約情報</t>
        </is>
      </c>
      <c r="F13" s="35" t="inlineStr">
        <is>
          <t>handoffs.content JSON</t>
        </is>
      </c>
      <c r="G13" s="35" t="inlineStr">
        <is>
          <t>system: 営業からCSへの引き継ぎ書を作成します。漏れがないよう網羅的に。
user: 契約: {{contract}}
関連商談: {{meetings_with_extractions}}
JSON:
{
  "customer_overview": "...",
  "decision_makers": [{name, role, influence}],
  "key_pain_points": [...],
  "agreed_scope": [...],
  "out_of_scope": [...],
  "commitments": [...],
  "risks": ["懸念点"],
  "communication_preferences": "...",
  "next_steps": [...]
}</t>
        </is>
      </c>
    </row>
    <row r="14" ht="29.85" customHeight="1" s="28">
      <c r="A14" s="35" t="inlineStr">
        <is>
          <t>PROMPT-10</t>
        </is>
      </c>
      <c r="B14" s="35" t="inlineStr">
        <is>
          <t>meeting_search_query_expansion</t>
        </is>
      </c>
      <c r="C14" s="35" t="inlineStr">
        <is>
          <t>claude-sonnet-4-5</t>
        </is>
      </c>
      <c r="D14" s="36" t="inlineStr">
        <is>
          <t>検索クエリ拡張</t>
        </is>
      </c>
      <c r="E14" s="35" t="inlineStr">
        <is>
          <t>user query</t>
        </is>
      </c>
      <c r="F14" s="36" t="inlineStr">
        <is>
          <t>拡張クエリ配列</t>
        </is>
      </c>
      <c r="G14" s="35" t="inlineStr">
        <is>
          <t>user: 検索クエリ「{{query}}」を、商談録画から関連する内容を見つけるために、類義表現を3-5個生成してください。配列のみ出力。</t>
        </is>
      </c>
    </row>
    <row r="16">
      <c r="A16" s="41" t="inlineStr">
        <is>
          <t>■ 追加LLMプロンプト(v2)</t>
        </is>
      </c>
      <c r="B16" s="41" t="n"/>
      <c r="C16" s="41" t="n"/>
      <c r="D16" s="41" t="n"/>
      <c r="E16" s="41" t="n"/>
      <c r="F16" s="41" t="n"/>
      <c r="G16" s="41" t="n"/>
    </row>
    <row r="17">
      <c r="A17" s="41" t="inlineStr">
        <is>
          <t>プロンプトID</t>
        </is>
      </c>
      <c r="B17" s="41" t="inlineStr">
        <is>
          <t>用途</t>
        </is>
      </c>
      <c r="C17" s="41" t="inlineStr">
        <is>
          <t>モデル</t>
        </is>
      </c>
      <c r="D17" s="41" t="inlineStr">
        <is>
          <t>入力</t>
        </is>
      </c>
      <c r="E17" s="41" t="inlineStr">
        <is>
          <t>出力</t>
        </is>
      </c>
      <c r="F17" s="41" t="inlineStr">
        <is>
          <t>温度</t>
        </is>
      </c>
      <c r="G17" s="41" t="inlineStr">
        <is>
          <t>Phase</t>
        </is>
      </c>
    </row>
    <row r="18">
      <c r="A18" s="41" t="inlineStr">
        <is>
          <t>LP-10</t>
        </is>
      </c>
      <c r="B18" s="41" t="inlineStr">
        <is>
          <t>OCR後処理(漢字社名/役職補正)</t>
        </is>
      </c>
      <c r="C18" s="41" t="inlineStr">
        <is>
          <t>claude-haiku-4-5</t>
        </is>
      </c>
      <c r="D18" s="41" t="inlineStr">
        <is>
          <t>raw_ocr_text + 業界辞書</t>
        </is>
      </c>
      <c r="E18" s="41" t="inlineStr">
        <is>
          <t>corrected_fields(name,company,title,email)</t>
        </is>
      </c>
      <c r="F18" s="41" t="inlineStr">
        <is>
          <t>0.0</t>
        </is>
      </c>
      <c r="G18" s="41" t="inlineStr">
        <is>
          <t>P1</t>
        </is>
      </c>
    </row>
    <row r="19">
      <c r="A19" s="41" t="inlineStr">
        <is>
          <t>LP-11</t>
        </is>
      </c>
      <c r="B19" s="41" t="inlineStr">
        <is>
          <t>名刺以外の判別</t>
        </is>
      </c>
      <c r="C19" s="41" t="inlineStr">
        <is>
          <t>gemini-flash or claude-haiku</t>
        </is>
      </c>
      <c r="D19" s="41" t="inlineStr">
        <is>
          <t>image+text</t>
        </is>
      </c>
      <c r="E19" s="41" t="inlineStr">
        <is>
          <t>classification(card|pamphlet|memo|qr_only|other)</t>
        </is>
      </c>
      <c r="F19" s="41" t="inlineStr">
        <is>
          <t>0.0</t>
        </is>
      </c>
      <c r="G19" s="41" t="inlineStr">
        <is>
          <t>P1</t>
        </is>
      </c>
    </row>
    <row r="20">
      <c r="A20" s="41" t="inlineStr">
        <is>
          <t>LP-12</t>
        </is>
      </c>
      <c r="B20" s="41" t="inlineStr">
        <is>
          <t>返信意図分類</t>
        </is>
      </c>
      <c r="C20" s="41" t="inlineStr">
        <is>
          <t>claude-haiku</t>
        </is>
      </c>
      <c r="D20" s="41" t="inlineStr">
        <is>
          <t>email_body</t>
        </is>
      </c>
      <c r="E20" s="41" t="inlineStr">
        <is>
          <t>intent(accept|decline|all_no_propose|phone|onsite|reschedule|cc_add|other)+confidence</t>
        </is>
      </c>
      <c r="F20" s="41" t="inlineStr">
        <is>
          <t>0.0</t>
        </is>
      </c>
      <c r="G20" s="41" t="inlineStr">
        <is>
          <t>P2</t>
        </is>
      </c>
    </row>
    <row r="21">
      <c r="A21" s="41" t="inlineStr">
        <is>
          <t>LP-13</t>
        </is>
      </c>
      <c r="B21" s="41" t="inlineStr">
        <is>
          <t>返信添付振り分け</t>
        </is>
      </c>
      <c r="C21" s="41" t="inlineStr">
        <is>
          <t>claude-haiku</t>
        </is>
      </c>
      <c r="D21" s="41" t="inlineStr">
        <is>
          <t>filename+content_type+text_excerpt</t>
        </is>
      </c>
      <c r="E21" s="41" t="inlineStr">
        <is>
          <t>category(NDA|requirements|RFP|quote|other)</t>
        </is>
      </c>
      <c r="F21" s="41" t="inlineStr">
        <is>
          <t>0.0</t>
        </is>
      </c>
      <c r="G21" s="41" t="inlineStr">
        <is>
          <t>P2</t>
        </is>
      </c>
    </row>
    <row r="22">
      <c r="A22" s="41" t="inlineStr">
        <is>
          <t>LP-14</t>
        </is>
      </c>
      <c r="B22" s="41" t="inlineStr">
        <is>
          <t>全NG時の再提案ドラフト</t>
        </is>
      </c>
      <c r="C22" s="41" t="inlineStr">
        <is>
          <t>claude-sonnet</t>
        </is>
      </c>
      <c r="D22" s="41" t="inlineStr">
        <is>
          <t>prior thread+availability</t>
        </is>
      </c>
      <c r="E22" s="41" t="inlineStr">
        <is>
          <t>email draft(再候補3-5枠)</t>
        </is>
      </c>
      <c r="F22" s="41" t="inlineStr">
        <is>
          <t>0.4</t>
        </is>
      </c>
      <c r="G22" s="41" t="inlineStr">
        <is>
          <t>P2</t>
        </is>
      </c>
    </row>
    <row r="23">
      <c r="A23" s="41" t="inlineStr">
        <is>
          <t>LP-15</t>
        </is>
      </c>
      <c r="B23" s="41" t="inlineStr">
        <is>
          <t>リスケ検出</t>
        </is>
      </c>
      <c r="C23" s="41" t="inlineStr">
        <is>
          <t>claude-haiku</t>
        </is>
      </c>
      <c r="D23" s="41" t="inlineStr">
        <is>
          <t>email_body+existing_meeting</t>
        </is>
      </c>
      <c r="E23" s="41" t="inlineStr">
        <is>
          <t>is_reschedule+new_proposed_slots</t>
        </is>
      </c>
      <c r="F23" s="41" t="inlineStr">
        <is>
          <t>0.0</t>
        </is>
      </c>
      <c r="G23" s="41" t="inlineStr">
        <is>
          <t>P2</t>
        </is>
      </c>
    </row>
    <row r="24">
      <c r="A24" s="41" t="inlineStr">
        <is>
          <t>LP-16</t>
        </is>
      </c>
      <c r="B24" s="41" t="inlineStr">
        <is>
          <t>商談前ブリーフィング</t>
        </is>
      </c>
      <c r="C24" s="41" t="inlineStr">
        <is>
          <t>claude-sonnet</t>
        </is>
      </c>
      <c r="D24" s="41" t="inlineStr">
        <is>
          <t>past_summaries+commitments+contact</t>
        </is>
      </c>
      <c r="E24" s="41" t="inlineStr">
        <is>
          <t>brief_card(needs/promises/recommended_assets)</t>
        </is>
      </c>
      <c r="F24" s="41" t="inlineStr">
        <is>
          <t>0.3</t>
        </is>
      </c>
      <c r="G24" s="41" t="inlineStr">
        <is>
          <t>P2</t>
        </is>
      </c>
    </row>
    <row r="25">
      <c r="A25" s="41" t="inlineStr">
        <is>
          <t>LP-17</t>
        </is>
      </c>
      <c r="B25" s="41" t="inlineStr">
        <is>
          <t>段階1: 文字起こし整形</t>
        </is>
      </c>
      <c r="C25" s="41" t="inlineStr">
        <is>
          <t>claude-haiku</t>
        </is>
      </c>
      <c r="D25" s="41" t="inlineStr">
        <is>
          <t>raw_transcript</t>
        </is>
      </c>
      <c r="E25" s="41" t="inlineStr">
        <is>
          <t>cleaned_transcript with diarization</t>
        </is>
      </c>
      <c r="F25" s="41" t="inlineStr">
        <is>
          <t>0.0</t>
        </is>
      </c>
      <c r="G25" s="41" t="inlineStr">
        <is>
          <t>P1</t>
        </is>
      </c>
    </row>
    <row r="26">
      <c r="A26" s="41" t="inlineStr">
        <is>
          <t>LP-18</t>
        </is>
      </c>
      <c r="B26" s="41" t="inlineStr">
        <is>
          <t>段階2: プレビュー要約</t>
        </is>
      </c>
      <c r="C26" s="41" t="inlineStr">
        <is>
          <t>claude-sonnet</t>
        </is>
      </c>
      <c r="D26" s="41" t="inlineStr">
        <is>
          <t>cleaned_transcript</t>
        </is>
      </c>
      <c r="E26" s="41" t="inlineStr">
        <is>
          <t>preview(2行要約+Top3 needs)</t>
        </is>
      </c>
      <c r="F26" s="41" t="inlineStr">
        <is>
          <t>0.3</t>
        </is>
      </c>
      <c r="G26" s="41" t="inlineStr">
        <is>
          <t>P1</t>
        </is>
      </c>
    </row>
    <row r="27">
      <c r="A27" s="41" t="inlineStr">
        <is>
          <t>LP-19</t>
        </is>
      </c>
      <c r="B27" s="41" t="inlineStr">
        <is>
          <t>段階3: 詳細抽出</t>
        </is>
      </c>
      <c r="C27" s="41" t="inlineStr">
        <is>
          <t>claude-sonnet</t>
        </is>
      </c>
      <c r="D27" s="41" t="inlineStr">
        <is>
          <t>cleaned_transcript</t>
        </is>
      </c>
      <c r="E27" s="41" t="inlineStr">
        <is>
          <t>needs+objections+commitments+next_actions</t>
        </is>
      </c>
      <c r="F27" s="41" t="inlineStr">
        <is>
          <t>0.2</t>
        </is>
      </c>
      <c r="G27" s="41" t="inlineStr">
        <is>
          <t>P1</t>
        </is>
      </c>
    </row>
    <row r="28">
      <c r="A28" s="41" t="inlineStr">
        <is>
          <t>LP-20</t>
        </is>
      </c>
      <c r="B28" s="41" t="inlineStr">
        <is>
          <t>顧客向け要約</t>
        </is>
      </c>
      <c r="C28" s="41" t="inlineStr">
        <is>
          <t>claude-sonnet</t>
        </is>
      </c>
      <c r="D28" s="41" t="inlineStr">
        <is>
          <t>internal_summary - sensitive segments</t>
        </is>
      </c>
      <c r="E28" s="41" t="inlineStr">
        <is>
          <t>external_summary(社内メモ抜き)</t>
        </is>
      </c>
      <c r="F28" s="41" t="inlineStr">
        <is>
          <t>0.3</t>
        </is>
      </c>
      <c r="G28" s="41" t="inlineStr">
        <is>
          <t>P2</t>
        </is>
      </c>
    </row>
    <row r="29">
      <c r="A29" s="41" t="inlineStr">
        <is>
          <t>LP-21</t>
        </is>
      </c>
      <c r="B29" s="41" t="inlineStr">
        <is>
          <t>PII検出</t>
        </is>
      </c>
      <c r="C29" s="41" t="inlineStr">
        <is>
          <t>claude-haiku</t>
        </is>
      </c>
      <c r="D29" s="41" t="inlineStr">
        <is>
          <t>transcript_segment</t>
        </is>
      </c>
      <c r="E29" s="41" t="inlineStr">
        <is>
          <t>pii_spans(address/phone/amount/email)</t>
        </is>
      </c>
      <c r="F29" s="41" t="inlineStr">
        <is>
          <t>0.0</t>
        </is>
      </c>
      <c r="G29" s="41" t="inlineStr">
        <is>
          <t>P2</t>
        </is>
      </c>
    </row>
    <row r="30">
      <c r="A30" s="41" t="inlineStr">
        <is>
          <t>LP-22</t>
        </is>
      </c>
      <c r="B30" s="41" t="inlineStr">
        <is>
          <t>曖昧時系列パース</t>
        </is>
      </c>
      <c r="C30" s="41" t="inlineStr">
        <is>
          <t>claude-haiku</t>
        </is>
      </c>
      <c r="D30" s="41" t="inlineStr">
        <is>
          <t>query+now</t>
        </is>
      </c>
      <c r="E30" s="41" t="inlineStr">
        <is>
          <t>date_range(start,end)+confidence</t>
        </is>
      </c>
      <c r="F30" s="41" t="inlineStr">
        <is>
          <t>0.0</t>
        </is>
      </c>
      <c r="G30" s="41" t="inlineStr">
        <is>
          <t>P2</t>
        </is>
      </c>
    </row>
    <row r="31">
      <c r="A31" s="41" t="inlineStr">
        <is>
          <t>LP-23</t>
        </is>
      </c>
      <c r="B31" s="41" t="inlineStr">
        <is>
          <t>クレーム検索カード</t>
        </is>
      </c>
      <c r="C31" s="41" t="inlineStr">
        <is>
          <t>claude-haiku</t>
        </is>
      </c>
      <c r="D31" s="41" t="inlineStr">
        <is>
          <t>customer+keyword</t>
        </is>
      </c>
      <c r="E31" s="41" t="inlineStr">
        <is>
          <t>top3_utterances+context_window</t>
        </is>
      </c>
      <c r="F31" s="41" t="inlineStr">
        <is>
          <t>0.0</t>
        </is>
      </c>
      <c r="G31" s="41" t="inlineStr">
        <is>
          <t>P2</t>
        </is>
      </c>
    </row>
    <row r="32">
      <c r="A32" s="41" t="inlineStr">
        <is>
          <t>LP-24</t>
        </is>
      </c>
      <c r="B32" s="41" t="inlineStr">
        <is>
          <t>ロープレ評価(降参モード)</t>
        </is>
      </c>
      <c r="C32" s="41" t="inlineStr">
        <is>
          <t>claude-sonnet</t>
        </is>
      </c>
      <c r="D32" s="41" t="inlineStr">
        <is>
          <t>conversation+stuck_point</t>
        </is>
      </c>
      <c r="E32" s="41" t="inlineStr">
        <is>
          <t>coach_hints+next_move</t>
        </is>
      </c>
      <c r="F32" s="41" t="inlineStr">
        <is>
          <t>0.4</t>
        </is>
      </c>
      <c r="G32" s="41" t="inlineStr">
        <is>
          <t>P3</t>
        </is>
      </c>
    </row>
    <row r="33">
      <c r="A33" s="41" t="inlineStr">
        <is>
          <t>LP-25</t>
        </is>
      </c>
      <c r="B33" s="41" t="inlineStr">
        <is>
          <t>失注分析</t>
        </is>
      </c>
      <c r="C33" s="41" t="inlineStr">
        <is>
          <t>claude-sonnet</t>
        </is>
      </c>
      <c r="D33" s="41" t="inlineStr">
        <is>
          <t>loss_records[]</t>
        </is>
      </c>
      <c r="E33" s="41" t="inlineStr">
        <is>
          <t>industry×objection matrix+narrative</t>
        </is>
      </c>
      <c r="F33" s="41" t="inlineStr">
        <is>
          <t>0.3</t>
        </is>
      </c>
      <c r="G33" s="41" t="inlineStr">
        <is>
          <t>P3</t>
        </is>
      </c>
    </row>
    <row r="34">
      <c r="A34" s="41" t="inlineStr">
        <is>
          <t>LP-26</t>
        </is>
      </c>
      <c r="B34" s="41" t="inlineStr">
        <is>
          <t>アップセルシグナル検出</t>
        </is>
      </c>
      <c r="C34" s="41" t="inlineStr">
        <is>
          <t>claude-haiku</t>
        </is>
      </c>
      <c r="D34" s="41" t="inlineStr">
        <is>
          <t>cs_segments</t>
        </is>
      </c>
      <c r="E34" s="41" t="inlineStr">
        <is>
          <t>signal_type+confidence</t>
        </is>
      </c>
      <c r="F34" s="41" t="inlineStr">
        <is>
          <t>0.0</t>
        </is>
      </c>
      <c r="G34" s="41" t="inlineStr">
        <is>
          <t>P3</t>
        </is>
      </c>
    </row>
    <row r="35">
      <c r="A35" s="41" t="inlineStr">
        <is>
          <t>LP-27</t>
        </is>
      </c>
      <c r="B35" s="41" t="inlineStr">
        <is>
          <t>認識ズレ報告ドラフト</t>
        </is>
      </c>
      <c r="C35" s="41" t="inlineStr">
        <is>
          <t>claude-haiku</t>
        </is>
      </c>
      <c r="D35" s="41" t="inlineStr">
        <is>
          <t>recording_segment+handoff_doc</t>
        </is>
      </c>
      <c r="E35" s="41" t="inlineStr">
        <is>
          <t>gap_report</t>
        </is>
      </c>
      <c r="F35" s="41" t="inlineStr">
        <is>
          <t>0.2</t>
        </is>
      </c>
      <c r="G35" s="41" t="inlineStr">
        <is>
          <t>P2</t>
        </is>
      </c>
    </row>
    <row r="36">
      <c r="A36" s="41" t="inlineStr">
        <is>
          <t>LP-28</t>
        </is>
      </c>
      <c r="B36" s="41" t="inlineStr">
        <is>
          <t>検索ハルシネーション抑止(no-source-no-answer)</t>
        </is>
      </c>
      <c r="C36" s="41" t="inlineStr">
        <is>
          <t>claude-sonnet</t>
        </is>
      </c>
      <c r="D36" s="41" t="inlineStr">
        <is>
          <t>question+candidate_sources</t>
        </is>
      </c>
      <c r="E36" s="41" t="inlineStr">
        <is>
          <t>answer with required citations OR 'no_answer'</t>
        </is>
      </c>
      <c r="F36" s="41" t="inlineStr">
        <is>
          <t>0.0</t>
        </is>
      </c>
      <c r="G36" s="41" t="inlineStr">
        <is>
          <t>P3</t>
        </is>
      </c>
    </row>
    <row r="37">
      <c r="A37" s="41" t="inlineStr">
        <is>
          <t>LP-29</t>
        </is>
      </c>
      <c r="B37" s="41" t="inlineStr">
        <is>
          <t>音声メモ商談紐付け</t>
        </is>
      </c>
      <c r="C37" s="41" t="inlineStr">
        <is>
          <t>claude-haiku</t>
        </is>
      </c>
      <c r="D37" s="41" t="inlineStr">
        <is>
          <t>transcript+recent_meetings</t>
        </is>
      </c>
      <c r="E37" s="41" t="inlineStr">
        <is>
          <t>best_match meeting_id</t>
        </is>
      </c>
      <c r="F37" s="41" t="inlineStr">
        <is>
          <t>0.0</t>
        </is>
      </c>
      <c r="G37" s="41" t="inlineStr">
        <is>
          <t>P2</t>
        </is>
      </c>
    </row>
    <row r="38">
      <c r="A38" s="41" t="inlineStr">
        <is>
          <t>LP-30</t>
        </is>
      </c>
      <c r="B38" s="41" t="inlineStr">
        <is>
          <t>A/Bメールテンプレ生成</t>
        </is>
      </c>
      <c r="C38" s="41" t="inlineStr">
        <is>
          <t>claude-sonnet</t>
        </is>
      </c>
      <c r="D38" s="41" t="inlineStr">
        <is>
          <t>persona+intent+past_perf</t>
        </is>
      </c>
      <c r="E38" s="41" t="inlineStr">
        <is>
          <t>2 variants</t>
        </is>
      </c>
      <c r="F38" s="41" t="inlineStr">
        <is>
          <t>0.6</t>
        </is>
      </c>
      <c r="G38" s="41" t="inlineStr">
        <is>
          <t>P3</t>
        </is>
      </c>
    </row>
    <row r="39">
      <c r="A39" s="41" t="inlineStr">
        <is>
          <t>LP-31</t>
        </is>
      </c>
      <c r="B39" s="41" t="inlineStr">
        <is>
          <t>退職者発言匿名化</t>
        </is>
      </c>
      <c r="C39" s="41" t="inlineStr">
        <is>
          <t>claude-haiku</t>
        </is>
      </c>
      <c r="D39" s="41" t="inlineStr">
        <is>
          <t>segments</t>
        </is>
      </c>
      <c r="E39" s="41" t="inlineStr">
        <is>
          <t>speaker→'退職者A'</t>
        </is>
      </c>
      <c r="F39" s="41" t="inlineStr">
        <is>
          <t>0.0</t>
        </is>
      </c>
      <c r="G39" s="41" t="inlineStr">
        <is>
          <t>P3</t>
        </is>
      </c>
    </row>
    <row r="40">
      <c r="A40" s="41" t="inlineStr">
        <is>
          <t>LP-32</t>
        </is>
      </c>
      <c r="B40" s="41" t="inlineStr">
        <is>
          <t>受注率診断ナラティブ</t>
        </is>
      </c>
      <c r="C40" s="41" t="inlineStr">
        <is>
          <t>claude-sonnet</t>
        </is>
      </c>
      <c r="D40" s="41" t="inlineStr">
        <is>
          <t>metrics+win/loss data</t>
        </is>
      </c>
      <c r="E40" s="41" t="inlineStr">
        <is>
          <t>narrative+top factors</t>
        </is>
      </c>
      <c r="F40" s="41" t="inlineStr">
        <is>
          <t>0.3</t>
        </is>
      </c>
      <c r="G40" s="41" t="inlineStr">
        <is>
          <t>P3</t>
        </is>
      </c>
    </row>
    <row r="41">
      <c r="A41" s="41" t="inlineStr">
        <is>
          <t>LP-33</t>
        </is>
      </c>
      <c r="B41" s="41" t="inlineStr">
        <is>
          <t>録画→ロープレ シナリオ生成</t>
        </is>
      </c>
      <c r="C41" s="41" t="inlineStr">
        <is>
          <t>claude-sonnet</t>
        </is>
      </c>
      <c r="D41" s="41" t="inlineStr">
        <is>
          <t>recording</t>
        </is>
      </c>
      <c r="E41" s="41" t="inlineStr">
        <is>
          <t>persona+situation+objections</t>
        </is>
      </c>
      <c r="F41" s="41" t="inlineStr">
        <is>
          <t>0.5</t>
        </is>
      </c>
      <c r="G41" s="41" t="inlineStr">
        <is>
          <t>P3</t>
        </is>
      </c>
    </row>
    <row r="43">
      <c r="A43" s="41" t="inlineStr">
        <is>
          <t>■ Round1指摘反映で追加プロンプト(v2.1)</t>
        </is>
      </c>
      <c r="B43" s="41" t="n"/>
      <c r="C43" s="41" t="n"/>
      <c r="D43" s="41" t="n"/>
      <c r="E43" s="41" t="n"/>
      <c r="F43" s="41" t="n"/>
      <c r="G43" s="41" t="n"/>
    </row>
    <row r="44">
      <c r="A44" s="41" t="inlineStr">
        <is>
          <t>プロンプトID</t>
        </is>
      </c>
      <c r="B44" s="41" t="inlineStr">
        <is>
          <t>用途</t>
        </is>
      </c>
      <c r="C44" s="41" t="inlineStr">
        <is>
          <t>モデル</t>
        </is>
      </c>
      <c r="D44" s="41" t="inlineStr">
        <is>
          <t>入力</t>
        </is>
      </c>
      <c r="E44" s="41" t="inlineStr">
        <is>
          <t>出力</t>
        </is>
      </c>
      <c r="F44" s="41" t="inlineStr">
        <is>
          <t>温度</t>
        </is>
      </c>
      <c r="G44" s="41" t="inlineStr">
        <is>
          <t>Phase</t>
        </is>
      </c>
    </row>
    <row r="45">
      <c r="A45" s="41" t="inlineStr">
        <is>
          <t>LP-34</t>
        </is>
      </c>
      <c r="B45" s="41" t="inlineStr">
        <is>
          <t>商談中検索の安全フィルタ(G-3)</t>
        </is>
      </c>
      <c r="C45" s="41" t="inlineStr">
        <is>
          <t>claude-haiku</t>
        </is>
      </c>
      <c r="D45" s="41" t="inlineStr">
        <is>
          <t>candidate_segments+share_target</t>
        </is>
      </c>
      <c r="E45" s="41" t="inlineStr">
        <is>
          <t>filtered_segments(internal/sensitive除外)</t>
        </is>
      </c>
      <c r="F45" s="41" t="inlineStr">
        <is>
          <t>0.0</t>
        </is>
      </c>
      <c r="G45" s="41" t="inlineStr">
        <is>
          <t>P2</t>
        </is>
      </c>
    </row>
    <row r="46">
      <c r="A46" s="41" t="inlineStr">
        <is>
          <t>LP-35</t>
        </is>
      </c>
      <c r="B46" s="41" t="inlineStr">
        <is>
          <t>録画同意アナウンス文面生成(C-1)</t>
        </is>
      </c>
      <c r="C46" s="41" t="inlineStr">
        <is>
          <t>claude-haiku</t>
        </is>
      </c>
      <c r="D46" s="41" t="inlineStr">
        <is>
          <t>org_name+meeting_context+language</t>
        </is>
      </c>
      <c r="E46" s="41" t="inlineStr">
        <is>
          <t>announcement script</t>
        </is>
      </c>
      <c r="F46" s="41" t="inlineStr">
        <is>
          <t>0.2</t>
        </is>
      </c>
      <c r="G46" s="41" t="inlineStr">
        <is>
          <t>P2</t>
        </is>
      </c>
    </row>
    <row r="47">
      <c r="A47" s="41" t="inlineStr">
        <is>
          <t>LP-36</t>
        </is>
      </c>
      <c r="B47" s="41" t="inlineStr">
        <is>
          <t>削除依頼の拒否事由判定(C-3)</t>
        </is>
      </c>
      <c r="C47" s="41" t="inlineStr">
        <is>
          <t>claude-haiku</t>
        </is>
      </c>
      <c r="D47" s="41" t="inlineStr">
        <is>
          <t>request+legal_obligations</t>
        </is>
      </c>
      <c r="E47" s="41" t="inlineStr">
        <is>
          <t>reason_code+notice_text</t>
        </is>
      </c>
      <c r="F47" s="41" t="inlineStr">
        <is>
          <t>0.0</t>
        </is>
      </c>
      <c r="G47" s="41" t="inlineStr">
        <is>
          <t>P2</t>
        </is>
      </c>
    </row>
    <row r="48">
      <c r="A48" s="41" t="inlineStr">
        <is>
          <t>LP-37</t>
        </is>
      </c>
      <c r="B48" s="41" t="inlineStr">
        <is>
          <t>退職者発言匿名化-scope自動推定(G-22)</t>
        </is>
      </c>
      <c r="C48" s="41" t="inlineStr">
        <is>
          <t>claude-haiku</t>
        </is>
      </c>
      <c r="D48" s="41" t="inlineStr">
        <is>
          <t>segments+policy</t>
        </is>
      </c>
      <c r="E48" s="41" t="inlineStr">
        <is>
          <t>scope(self_voice|all_segments|customer_facing_only)</t>
        </is>
      </c>
      <c r="F48" s="41" t="inlineStr">
        <is>
          <t>0.0</t>
        </is>
      </c>
      <c r="G48" s="41" t="inlineStr">
        <is>
          <t>P3</t>
        </is>
      </c>
    </row>
    <row r="49">
      <c r="A49" s="41" t="inlineStr">
        <is>
          <t>LP-38</t>
        </is>
      </c>
      <c r="B49" s="41" t="inlineStr">
        <is>
          <t>ナラティブカード生成(G-11)</t>
        </is>
      </c>
      <c r="C49" s="41" t="inlineStr">
        <is>
          <t>claude-sonnet</t>
        </is>
      </c>
      <c r="D49" s="41" t="inlineStr">
        <is>
          <t>metrics+history+1on1_history</t>
        </is>
      </c>
      <c r="E49" s="41" t="inlineStr">
        <is>
          <t>narrative+talking_points</t>
        </is>
      </c>
      <c r="F49" s="41" t="inlineStr">
        <is>
          <t>0.4</t>
        </is>
      </c>
      <c r="G49" s="41" t="inlineStr">
        <is>
          <t>P3</t>
        </is>
      </c>
    </row>
    <row r="50">
      <c r="A50" s="41" t="inlineStr">
        <is>
          <t>LP-39</t>
        </is>
      </c>
      <c r="B50" s="41" t="inlineStr">
        <is>
          <t>失注+勝因対比(G-24)</t>
        </is>
      </c>
      <c r="C50" s="41" t="inlineStr">
        <is>
          <t>claude-sonnet</t>
        </is>
      </c>
      <c r="D50" s="41" t="inlineStr">
        <is>
          <t>wins+losses+industry</t>
        </is>
      </c>
      <c r="E50" s="41" t="inlineStr">
        <is>
          <t>matrix+narrative</t>
        </is>
      </c>
      <c r="F50" s="41" t="inlineStr">
        <is>
          <t>0.3</t>
        </is>
      </c>
      <c r="G50" s="41" t="inlineStr">
        <is>
          <t>P3</t>
        </is>
      </c>
    </row>
    <row r="51">
      <c r="A51" s="41" t="inlineStr">
        <is>
          <t>LP-40</t>
        </is>
      </c>
      <c r="B51" s="41" t="inlineStr">
        <is>
          <t>共通: tool_use(JSON mode) ラッパ</t>
        </is>
      </c>
      <c r="C51" s="41" t="inlineStr">
        <is>
          <t>-</t>
        </is>
      </c>
      <c r="D51" s="41" t="inlineStr">
        <is>
          <t>-</t>
        </is>
      </c>
      <c r="E51" s="41" t="inlineStr">
        <is>
          <t>zod schema強制+1回再生成→needs_review</t>
        </is>
      </c>
      <c r="F51" s="41" t="inlineStr">
        <is>
          <t>-</t>
        </is>
      </c>
      <c r="G51" s="41" t="inlineStr">
        <is>
          <t>-</t>
        </is>
      </c>
    </row>
    <row r="52">
      <c r="A52" s="41" t="inlineStr">
        <is>
          <t>LP-41</t>
        </is>
      </c>
      <c r="B52" s="41" t="inlineStr">
        <is>
          <t>RAGコスト保護</t>
        </is>
      </c>
      <c r="C52" s="41" t="inlineStr">
        <is>
          <t>-</t>
        </is>
      </c>
      <c r="D52" s="41" t="inlineStr">
        <is>
          <t>-</t>
        </is>
      </c>
      <c r="E52" s="41" t="inlineStr">
        <is>
          <t>per-conversation $0.10 cap+context tokens cap (1k×8件)</t>
        </is>
      </c>
      <c r="F52" s="41" t="inlineStr">
        <is>
          <t>-</t>
        </is>
      </c>
      <c r="G52" s="41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7" min="1" max="1"/>
    <col width="80" customWidth="1" style="27" min="2" max="2"/>
    <col width="35" customWidth="1" style="27" min="3" max="3"/>
    <col width="25" customWidth="1" style="27" min="4" max="5"/>
  </cols>
  <sheetData>
    <row r="1" ht="24" customHeight="1" s="28">
      <c r="A1" s="29" t="inlineStr">
        <is>
          <t>セキュリティ・認証・RLS設計</t>
        </is>
      </c>
    </row>
    <row r="3" ht="21.75" customHeight="1" s="28">
      <c r="A3" s="33" t="inlineStr">
        <is>
          <t>■ ロールと権限マトリクス</t>
        </is>
      </c>
    </row>
    <row r="4" ht="27.75" customHeight="1" s="28">
      <c r="A4" s="34" t="inlineStr">
        <is>
          <t>リソース</t>
        </is>
      </c>
      <c r="B4" s="37" t="inlineStr">
        <is>
          <t>sales</t>
        </is>
      </c>
      <c r="C4" s="37" t="inlineStr">
        <is>
          <t>cs</t>
        </is>
      </c>
      <c r="D4" s="37" t="inlineStr">
        <is>
          <t>manager</t>
        </is>
      </c>
      <c r="E4" s="37" t="inlineStr">
        <is>
          <t>admin</t>
        </is>
      </c>
    </row>
    <row r="5" ht="15" customHeight="1" s="28">
      <c r="A5" s="35" t="inlineStr">
        <is>
          <t>contacts(自分の)</t>
        </is>
      </c>
      <c r="B5" s="35" t="inlineStr">
        <is>
          <t>CRUD</t>
        </is>
      </c>
      <c r="C5" s="35" t="inlineStr">
        <is>
          <t>R</t>
        </is>
      </c>
      <c r="D5" s="35" t="inlineStr">
        <is>
          <t>CRUD</t>
        </is>
      </c>
      <c r="E5" s="35" t="inlineStr">
        <is>
          <t>CRUD</t>
        </is>
      </c>
    </row>
    <row r="6" ht="15" customHeight="1" s="28">
      <c r="A6" s="35" t="inlineStr">
        <is>
          <t>contacts(他人の)</t>
        </is>
      </c>
      <c r="B6" s="35" t="inlineStr">
        <is>
          <t>R</t>
        </is>
      </c>
      <c r="C6" s="35" t="inlineStr">
        <is>
          <t>R</t>
        </is>
      </c>
      <c r="D6" s="35" t="inlineStr">
        <is>
          <t>CRUD</t>
        </is>
      </c>
      <c r="E6" s="35" t="inlineStr">
        <is>
          <t>CRUD</t>
        </is>
      </c>
    </row>
    <row r="7" ht="15" customHeight="1" s="28">
      <c r="A7" s="35" t="inlineStr">
        <is>
          <t>meetings(自分の)</t>
        </is>
      </c>
      <c r="B7" s="35" t="inlineStr">
        <is>
          <t>CRUD</t>
        </is>
      </c>
      <c r="C7" s="35" t="inlineStr">
        <is>
          <t>R</t>
        </is>
      </c>
      <c r="D7" s="35" t="inlineStr">
        <is>
          <t>CRUD</t>
        </is>
      </c>
      <c r="E7" s="35" t="inlineStr">
        <is>
          <t>CRUD</t>
        </is>
      </c>
    </row>
    <row r="8" ht="15" customHeight="1" s="28">
      <c r="A8" s="35" t="inlineStr">
        <is>
          <t>meetings(他人の)</t>
        </is>
      </c>
      <c r="B8" s="35" t="inlineStr">
        <is>
          <t>R</t>
        </is>
      </c>
      <c r="C8" s="35" t="inlineStr">
        <is>
          <t>R</t>
        </is>
      </c>
      <c r="D8" s="35" t="inlineStr">
        <is>
          <t>CRUD</t>
        </is>
      </c>
      <c r="E8" s="35" t="inlineStr">
        <is>
          <t>CRUD</t>
        </is>
      </c>
    </row>
    <row r="9" ht="15" customHeight="1" s="28">
      <c r="A9" s="35" t="inlineStr">
        <is>
          <t>recordings</t>
        </is>
      </c>
      <c r="B9" s="35" t="inlineStr">
        <is>
          <t>R(全社)</t>
        </is>
      </c>
      <c r="C9" s="35" t="inlineStr">
        <is>
          <t>R(全社)</t>
        </is>
      </c>
      <c r="D9" s="35" t="inlineStr">
        <is>
          <t>R(全社)</t>
        </is>
      </c>
      <c r="E9" s="35" t="inlineStr">
        <is>
          <t>CRUD</t>
        </is>
      </c>
    </row>
    <row r="10" ht="15" customHeight="1" s="28">
      <c r="A10" s="35" t="inlineStr">
        <is>
          <t>recording.insights編集</t>
        </is>
      </c>
      <c r="B10" s="36" t="inlineStr">
        <is>
          <t>担当者のみU</t>
        </is>
      </c>
      <c r="C10" s="35" t="inlineStr">
        <is>
          <t>×</t>
        </is>
      </c>
      <c r="D10" s="35" t="inlineStr">
        <is>
          <t>U</t>
        </is>
      </c>
      <c r="E10" s="35" t="inlineStr">
        <is>
          <t>U</t>
        </is>
      </c>
    </row>
    <row r="11" ht="15" customHeight="1" s="28">
      <c r="A11" s="35" t="inlineStr">
        <is>
          <t>knowledge_items</t>
        </is>
      </c>
      <c r="B11" s="35" t="inlineStr">
        <is>
          <t>C, R(approved), U(自分)</t>
        </is>
      </c>
      <c r="C11" s="35" t="inlineStr">
        <is>
          <t>R, C</t>
        </is>
      </c>
      <c r="D11" s="35" t="inlineStr">
        <is>
          <t>CRUD</t>
        </is>
      </c>
      <c r="E11" s="35" t="inlineStr">
        <is>
          <t>CRUD</t>
        </is>
      </c>
    </row>
    <row r="12" ht="15" customHeight="1" s="28">
      <c r="A12" s="35" t="inlineStr">
        <is>
          <t>roleplay_scenarios</t>
        </is>
      </c>
      <c r="B12" s="35" t="inlineStr">
        <is>
          <t>R, C(自作)</t>
        </is>
      </c>
      <c r="C12" s="35" t="inlineStr">
        <is>
          <t>R</t>
        </is>
      </c>
      <c r="D12" s="35" t="inlineStr">
        <is>
          <t>CRUD, 公開承認</t>
        </is>
      </c>
      <c r="E12" s="35" t="inlineStr">
        <is>
          <t>CRUD</t>
        </is>
      </c>
    </row>
    <row r="13" ht="15" customHeight="1" s="28">
      <c r="A13" s="35" t="inlineStr">
        <is>
          <t>roleplay_sessions</t>
        </is>
      </c>
      <c r="B13" s="35" t="inlineStr">
        <is>
          <t>CRUD(自分)</t>
        </is>
      </c>
      <c r="C13" s="35" t="inlineStr">
        <is>
          <t>CRUD(自分)</t>
        </is>
      </c>
      <c r="D13" s="35" t="inlineStr">
        <is>
          <t>R(チーム), C(コーチ)</t>
        </is>
      </c>
      <c r="E13" s="35" t="inlineStr">
        <is>
          <t>CRUD</t>
        </is>
      </c>
    </row>
    <row r="14" ht="15" customHeight="1" s="28">
      <c r="A14" s="35" t="inlineStr">
        <is>
          <t>handoffs</t>
        </is>
      </c>
      <c r="B14" s="35" t="inlineStr">
        <is>
          <t>C(送り元), U(自分宛)</t>
        </is>
      </c>
      <c r="C14" s="35" t="inlineStr">
        <is>
          <t>R(自分宛), U</t>
        </is>
      </c>
      <c r="D14" s="35" t="inlineStr">
        <is>
          <t>R, U</t>
        </is>
      </c>
      <c r="E14" s="35" t="inlineStr">
        <is>
          <t>CRUD</t>
        </is>
      </c>
    </row>
    <row r="15" ht="15" customHeight="1" s="28">
      <c r="A15" s="35" t="inlineStr">
        <is>
          <t>admin_users</t>
        </is>
      </c>
      <c r="B15" s="35" t="inlineStr">
        <is>
          <t>×</t>
        </is>
      </c>
      <c r="C15" s="35" t="inlineStr">
        <is>
          <t>×</t>
        </is>
      </c>
      <c r="D15" s="35" t="inlineStr">
        <is>
          <t>×</t>
        </is>
      </c>
      <c r="E15" s="35" t="inlineStr">
        <is>
          <t>CRUD</t>
        </is>
      </c>
    </row>
    <row r="16" ht="15" customHeight="1" s="28">
      <c r="A16" s="35" t="inlineStr">
        <is>
          <t>audit_logs</t>
        </is>
      </c>
      <c r="B16" s="35" t="inlineStr">
        <is>
          <t>×</t>
        </is>
      </c>
      <c r="C16" s="35" t="inlineStr">
        <is>
          <t>×</t>
        </is>
      </c>
      <c r="D16" s="35" t="inlineStr">
        <is>
          <t>R(チーム)</t>
        </is>
      </c>
      <c r="E16" s="35" t="inlineStr">
        <is>
          <t>R</t>
        </is>
      </c>
    </row>
    <row r="17" ht="15" customHeight="1" s="28">
      <c r="A17" s="35" t="inlineStr">
        <is>
          <t>email_templates</t>
        </is>
      </c>
      <c r="B17" s="35" t="inlineStr">
        <is>
          <t>CRUD(自作)</t>
        </is>
      </c>
      <c r="C17" s="35" t="inlineStr">
        <is>
          <t>×</t>
        </is>
      </c>
      <c r="D17" s="35" t="inlineStr">
        <is>
          <t>CRUD</t>
        </is>
      </c>
      <c r="E17" s="35" t="inlineStr">
        <is>
          <t>CRUD</t>
        </is>
      </c>
    </row>
    <row r="19" ht="21.75" customHeight="1" s="28">
      <c r="A19" s="47" t="inlineStr">
        <is>
          <t>■ Supabase RLS ポリシー(主要)</t>
        </is>
      </c>
    </row>
    <row r="20" ht="27.75" customHeight="1" s="28">
      <c r="A20" s="34" t="inlineStr">
        <is>
          <t>テーブル</t>
        </is>
      </c>
      <c r="B20" s="37" t="inlineStr">
        <is>
          <t>RLS定義(SQL)</t>
        </is>
      </c>
    </row>
    <row r="21" ht="248.5" customHeight="1" s="28">
      <c r="A21" s="35" t="inlineStr">
        <is>
          <t>contacts</t>
        </is>
      </c>
      <c r="B21" s="35" t="inlineStr">
        <is>
          <t>-- SELECT: 全社員が閲覧可
CREATE POLICY contacts_select_all ON contacts FOR SELECT
  TO authenticated USING (true);
-- INSERT: 認証済みユーザーが自分をownerに
CREATE POLICY contacts_insert_self ON contacts FOR INSERT
  TO authenticated WITH CHECK (owner_user_id = auth.uid());
-- UPDATE: 自分が担当するか、manager以上
CREATE POLICY contacts_update_owner ON contacts FOR UPDATE
  TO authenticated USING (
    owner_user_id = auth.uid()
    OR EXISTS (SELECT 1 FROM users u WHERE u.id = auth.uid() AND u.role IN ('manager','admin'))
  );
-- DELETE: admin のみ
CREATE POLICY contacts_delete_admin ON contacts FOR DELETE
  TO authenticated USING (
    EXISTS (SELECT 1 FROM users u WHERE u.id = auth.uid() AND u.role = 'admin')
  );</t>
        </is>
      </c>
    </row>
    <row r="22" ht="63.4" customHeight="1" s="28">
      <c r="A22" s="35" t="inlineStr">
        <is>
          <t>recordings</t>
        </is>
      </c>
      <c r="B22" s="35" t="inlineStr">
        <is>
          <t>-- SELECT: 全認証ユーザー(録画は全社共有が前提)
CREATE POLICY recordings_select_all ON recordings FOR SELECT
  TO authenticated USING (true);
-- ただし共有リンク経由の閲覧は service_role で別経路</t>
        </is>
      </c>
    </row>
    <row r="23" ht="94" customHeight="1" s="28">
      <c r="A23" s="35" t="inlineStr">
        <is>
          <t>roleplay_sessions</t>
        </is>
      </c>
      <c r="B23" s="35" t="inlineStr">
        <is>
          <t>-- SELECT: 自分 or 共有許可済 or マネージャー(同チーム)
CREATE POLICY roleplay_sessions_select ON roleplay_sessions FOR SELECT
  TO authenticated USING (
    user_id = auth.uid()
    OR shared_with_team = true
    OR EXISTS (SELECT 1 FROM users u WHERE u.id = auth.uid() AND u.role IN ('manager','admin'))
  );</t>
        </is>
      </c>
    </row>
    <row r="24" ht="85.8" customHeight="1" s="28">
      <c r="A24" s="35" t="inlineStr">
        <is>
          <t>audit_logs</t>
        </is>
      </c>
      <c r="B24" s="35" t="inlineStr">
        <is>
          <t>-- SELECT: manager と admin のみ
CREATE POLICY audit_logs_select_priv ON audit_logs FOR SELECT
  TO authenticated USING (
    EXISTS (SELECT 1 FROM users u WHERE u.id = auth.uid() AND u.role IN ('manager','admin'))
  );
-- INSERT: service_role のみ(API経由で記録)</t>
        </is>
      </c>
    </row>
    <row r="26" ht="21.75" customHeight="1" s="28">
      <c r="A26" s="33" t="inlineStr">
        <is>
          <t>■ シークレット管理</t>
        </is>
      </c>
    </row>
    <row r="27" ht="27.75" customHeight="1" s="28">
      <c r="A27" s="34" t="inlineStr">
        <is>
          <t>保管先</t>
        </is>
      </c>
      <c r="B27" s="34" t="inlineStr">
        <is>
          <t>対象</t>
        </is>
      </c>
      <c r="C27" s="34" t="inlineStr">
        <is>
          <t>実装</t>
        </is>
      </c>
    </row>
    <row r="28" ht="15" customHeight="1" s="28">
      <c r="A28" s="35" t="inlineStr">
        <is>
          <t>Supabase Vault</t>
        </is>
      </c>
      <c r="B28" s="35" t="inlineStr">
        <is>
          <t>OAuth refresh_token, アクセス・トークン</t>
        </is>
      </c>
      <c r="C28" s="35" t="inlineStr">
        <is>
          <t>pgsodium 暗号化</t>
        </is>
      </c>
    </row>
    <row r="29" ht="15" customHeight="1" s="28">
      <c r="A29" s="35" t="inlineStr">
        <is>
          <t>Render Secret Files</t>
        </is>
      </c>
      <c r="B29" s="35" t="inlineStr">
        <is>
          <t>GOOGLE_SERVICE_ACCOUNT_KEY (JSON)</t>
        </is>
      </c>
      <c r="C29" s="36" t="inlineStr">
        <is>
          <t>ファイルマウント</t>
        </is>
      </c>
    </row>
    <row r="30" ht="15" customHeight="1" s="28">
      <c r="A30" s="35" t="inlineStr">
        <is>
          <t>Render 環境変数</t>
        </is>
      </c>
      <c r="B30" s="35" t="inlineStr">
        <is>
          <t>API Keys, DB URL</t>
        </is>
      </c>
      <c r="C30" s="36" t="inlineStr">
        <is>
          <t>通常の env</t>
        </is>
      </c>
    </row>
    <row r="31" ht="15" customHeight="1" s="28">
      <c r="A31" s="36" t="inlineStr">
        <is>
          <t>共有リンクtoken</t>
        </is>
      </c>
      <c r="B31" s="35" t="inlineStr">
        <is>
          <t>crypto.randomBytes(32).toString("base64url")</t>
        </is>
      </c>
      <c r="C31" s="35" t="inlineStr">
        <is>
          <t>DB保存はハッシュ化推奨</t>
        </is>
      </c>
    </row>
    <row r="33" ht="21.75" customHeight="1" s="28">
      <c r="A33" s="33" t="inlineStr">
        <is>
          <t>■ 監査対象アクション</t>
        </is>
      </c>
    </row>
    <row r="34" ht="27.75" customHeight="1" s="28">
      <c r="A34" s="37" t="inlineStr">
        <is>
          <t>action</t>
        </is>
      </c>
      <c r="B34" s="34" t="inlineStr">
        <is>
          <t>対象</t>
        </is>
      </c>
    </row>
    <row r="35" ht="15" customHeight="1" s="28">
      <c r="A35" s="35" t="inlineStr">
        <is>
          <t>view</t>
        </is>
      </c>
      <c r="B35" s="35" t="inlineStr">
        <is>
          <t>recordings/[id], contacts/[id], shares アクセス</t>
        </is>
      </c>
    </row>
    <row r="36" ht="15" customHeight="1" s="28">
      <c r="A36" s="35" t="inlineStr">
        <is>
          <t>create</t>
        </is>
      </c>
      <c r="B36" s="36" t="inlineStr">
        <is>
          <t>全 CUD アクション</t>
        </is>
      </c>
    </row>
    <row r="37" ht="15" customHeight="1" s="28">
      <c r="A37" s="35" t="inlineStr">
        <is>
          <t>update</t>
        </is>
      </c>
      <c r="B37" s="36" t="inlineStr">
        <is>
          <t>同上</t>
        </is>
      </c>
    </row>
    <row r="38" ht="15" customHeight="1" s="28">
      <c r="A38" s="35" t="inlineStr">
        <is>
          <t>delete</t>
        </is>
      </c>
      <c r="B38" s="36" t="inlineStr">
        <is>
          <t>同上</t>
        </is>
      </c>
    </row>
    <row r="39" ht="15" customHeight="1" s="28">
      <c r="A39" s="35" t="inlineStr">
        <is>
          <t>share</t>
        </is>
      </c>
      <c r="B39" s="36" t="inlineStr">
        <is>
          <t>共有リンク作成</t>
        </is>
      </c>
    </row>
    <row r="40" ht="15" customHeight="1" s="28">
      <c r="A40" s="35" t="inlineStr">
        <is>
          <t>export</t>
        </is>
      </c>
      <c r="B40" s="35" t="inlineStr">
        <is>
          <t>CSVダウンロード等</t>
        </is>
      </c>
    </row>
    <row r="41" ht="15" customHeight="1" s="28">
      <c r="A41" s="35" t="inlineStr">
        <is>
          <t>login/logout</t>
        </is>
      </c>
      <c r="B41" s="35" t="inlineStr">
        <is>
          <t>Supabase Auth event subscription</t>
        </is>
      </c>
    </row>
    <row r="42" ht="15" customHeight="1" s="28">
      <c r="A42" s="35" t="inlineStr">
        <is>
          <t>admin_action</t>
        </is>
      </c>
      <c r="B42" s="36" t="inlineStr">
        <is>
          <t>ユーザー招待/退職処理/上限変更</t>
        </is>
      </c>
    </row>
    <row r="44">
      <c r="A44" s="41" t="inlineStr">
        <is>
          <t>■ 追加RLS/権限/監査(v2)</t>
        </is>
      </c>
      <c r="B44" s="41" t="n"/>
      <c r="C44" s="41" t="n"/>
      <c r="D44" s="41" t="n"/>
      <c r="E44" s="41" t="n"/>
    </row>
    <row r="45">
      <c r="A45" s="41" t="inlineStr">
        <is>
          <t>対象</t>
        </is>
      </c>
      <c r="B45" s="41" t="inlineStr">
        <is>
          <t>ルール</t>
        </is>
      </c>
      <c r="C45" s="41" t="inlineStr">
        <is>
          <t>SELECT</t>
        </is>
      </c>
      <c r="D45" s="41" t="inlineStr">
        <is>
          <t>INSERT/UPDATE/DELETE</t>
        </is>
      </c>
      <c r="E45" s="41" t="inlineStr">
        <is>
          <t>Phase</t>
        </is>
      </c>
    </row>
    <row r="46">
      <c r="A46" s="41" t="inlineStr">
        <is>
          <t>business_card_images</t>
        </is>
      </c>
      <c r="B46" s="41" t="inlineStr">
        <is>
          <t>所有者or同orgのadmin</t>
        </is>
      </c>
      <c r="C46" s="41" t="inlineStr">
        <is>
          <t>owner OR admin</t>
        </is>
      </c>
      <c r="D46" s="41" t="inlineStr">
        <is>
          <t>owner</t>
        </is>
      </c>
      <c r="E46" s="41" t="inlineStr">
        <is>
          <t>P1</t>
        </is>
      </c>
    </row>
    <row r="47">
      <c r="A47" s="41" t="inlineStr">
        <is>
          <t>contact_memos</t>
        </is>
      </c>
      <c r="B47" s="41" t="inlineStr">
        <is>
          <t>contactアクセス権者</t>
        </is>
      </c>
      <c r="C47" s="41" t="inlineStr">
        <is>
          <t>linked contact RLS</t>
        </is>
      </c>
      <c r="D47" s="41" t="inlineStr">
        <is>
          <t>作成者OR admin</t>
        </is>
      </c>
      <c r="E47" s="41" t="inlineStr">
        <is>
          <t>P1</t>
        </is>
      </c>
    </row>
    <row r="48">
      <c r="A48" s="41" t="inlineStr">
        <is>
          <t>events</t>
        </is>
      </c>
      <c r="B48" s="41" t="inlineStr">
        <is>
          <t>org内</t>
        </is>
      </c>
      <c r="C48" s="41" t="inlineStr">
        <is>
          <t>org_member</t>
        </is>
      </c>
      <c r="D48" s="41" t="inlineStr">
        <is>
          <t>org_admin</t>
        </is>
      </c>
      <c r="E48" s="41" t="inlineStr">
        <is>
          <t>P2</t>
        </is>
      </c>
    </row>
    <row r="49">
      <c r="A49" s="41" t="inlineStr">
        <is>
          <t>offline_queue</t>
        </is>
      </c>
      <c r="B49" s="41" t="inlineStr">
        <is>
          <t>本人のみ</t>
        </is>
      </c>
      <c r="C49" s="41" t="inlineStr">
        <is>
          <t>self</t>
        </is>
      </c>
      <c r="D49" s="41" t="inlineStr">
        <is>
          <t>self</t>
        </is>
      </c>
      <c r="E49" s="41" t="inlineStr">
        <is>
          <t>P1</t>
        </is>
      </c>
    </row>
    <row r="50">
      <c r="A50" s="41" t="inlineStr">
        <is>
          <t>non_card_attachments</t>
        </is>
      </c>
      <c r="B50" s="41" t="inlineStr">
        <is>
          <t>所有者or同meetingメンバー</t>
        </is>
      </c>
      <c r="C50" s="41" t="inlineStr">
        <is>
          <t>owner/meeting</t>
        </is>
      </c>
      <c r="D50" s="41" t="inlineStr">
        <is>
          <t>owner</t>
        </is>
      </c>
      <c r="E50" s="41" t="inlineStr">
        <is>
          <t>P1</t>
        </is>
      </c>
    </row>
    <row r="51">
      <c r="A51" s="41" t="inlineStr">
        <is>
          <t>user_availability_settings</t>
        </is>
      </c>
      <c r="B51" s="41" t="inlineStr">
        <is>
          <t>本人のみ</t>
        </is>
      </c>
      <c r="C51" s="41" t="inlineStr">
        <is>
          <t>self</t>
        </is>
      </c>
      <c r="D51" s="41" t="inlineStr">
        <is>
          <t>self</t>
        </is>
      </c>
      <c r="E51" s="41" t="inlineStr">
        <is>
          <t>P2</t>
        </is>
      </c>
    </row>
    <row r="52">
      <c r="A52" s="41" t="inlineStr">
        <is>
          <t>meeting_rooms / room_reservations</t>
        </is>
      </c>
      <c r="B52" s="41" t="inlineStr">
        <is>
          <t>org_member</t>
        </is>
      </c>
      <c r="C52" s="41" t="inlineStr">
        <is>
          <t>org</t>
        </is>
      </c>
      <c r="D52" s="41" t="inlineStr">
        <is>
          <t>org_admin or 本人</t>
        </is>
      </c>
      <c r="E52" s="41" t="inlineStr">
        <is>
          <t>P2</t>
        </is>
      </c>
    </row>
    <row r="53">
      <c r="A53" s="41" t="inlineStr">
        <is>
          <t>calendar_holds</t>
        </is>
      </c>
      <c r="B53" s="41" t="inlineStr">
        <is>
          <t>本人のみ</t>
        </is>
      </c>
      <c r="C53" s="41" t="inlineStr">
        <is>
          <t>self</t>
        </is>
      </c>
      <c r="D53" s="41" t="inlineStr">
        <is>
          <t>self</t>
        </is>
      </c>
      <c r="E53" s="41" t="inlineStr">
        <is>
          <t>P2</t>
        </is>
      </c>
    </row>
    <row r="54">
      <c r="A54" s="41" t="inlineStr">
        <is>
          <t>customer_timezones</t>
        </is>
      </c>
      <c r="B54" s="41" t="inlineStr">
        <is>
          <t>contactアクセス権</t>
        </is>
      </c>
      <c r="C54" s="41" t="inlineStr">
        <is>
          <t>linked contact</t>
        </is>
      </c>
      <c r="D54" s="41" t="inlineStr">
        <is>
          <t>linked contact</t>
        </is>
      </c>
      <c r="E54" s="41" t="inlineStr">
        <is>
          <t>P2</t>
        </is>
      </c>
    </row>
    <row r="55">
      <c r="A55" s="41" t="inlineStr">
        <is>
          <t>internal_attendee_invites</t>
        </is>
      </c>
      <c r="B55" s="41" t="inlineStr">
        <is>
          <t>invitee/inviter/admin</t>
        </is>
      </c>
      <c r="C55" s="41" t="inlineStr">
        <is>
          <t>関係者</t>
        </is>
      </c>
      <c r="D55" s="41" t="inlineStr">
        <is>
          <t>invitee/inviter</t>
        </is>
      </c>
      <c r="E55" s="41" t="inlineStr">
        <is>
          <t>P2</t>
        </is>
      </c>
    </row>
    <row r="56">
      <c r="A56" s="41" t="inlineStr">
        <is>
          <t>delegate_grants</t>
        </is>
      </c>
      <c r="B56" s="41" t="inlineStr">
        <is>
          <t>grantor/delegate/admin</t>
        </is>
      </c>
      <c r="C56" s="41" t="inlineStr">
        <is>
          <t>関係者</t>
        </is>
      </c>
      <c r="D56" s="41" t="inlineStr">
        <is>
          <t>grantor/admin</t>
        </is>
      </c>
      <c r="E56" s="41" t="inlineStr">
        <is>
          <t>P3</t>
        </is>
      </c>
    </row>
    <row r="57">
      <c r="A57" s="41" t="inlineStr">
        <is>
          <t>meeting_duplicates</t>
        </is>
      </c>
      <c r="B57" s="41" t="inlineStr">
        <is>
          <t>担当営業/admin</t>
        </is>
      </c>
      <c r="C57" s="41" t="inlineStr">
        <is>
          <t>関係者</t>
        </is>
      </c>
      <c r="D57" s="41" t="inlineStr">
        <is>
          <t>trigger only</t>
        </is>
      </c>
      <c r="E57" s="41" t="inlineStr">
        <is>
          <t>P2</t>
        </is>
      </c>
    </row>
    <row r="58">
      <c r="A58" s="41" t="inlineStr">
        <is>
          <t>email_intents/email_attachments</t>
        </is>
      </c>
      <c r="B58" s="41" t="inlineStr">
        <is>
          <t>メールアクセス権者</t>
        </is>
      </c>
      <c r="C58" s="41" t="inlineStr">
        <is>
          <t>継承</t>
        </is>
      </c>
      <c r="D58" s="41" t="inlineStr">
        <is>
          <t>継承</t>
        </is>
      </c>
      <c r="E58" s="41" t="inlineStr">
        <is>
          <t>P2</t>
        </is>
      </c>
    </row>
    <row r="59">
      <c r="A59" s="41" t="inlineStr">
        <is>
          <t>meeting_briefs</t>
        </is>
      </c>
      <c r="B59" s="41" t="inlineStr">
        <is>
          <t>商談アクセス権者</t>
        </is>
      </c>
      <c r="C59" s="41" t="inlineStr">
        <is>
          <t>継承</t>
        </is>
      </c>
      <c r="D59" s="41" t="inlineStr">
        <is>
          <t>system+owner</t>
        </is>
      </c>
      <c r="E59" s="41" t="inlineStr">
        <is>
          <t>P2</t>
        </is>
      </c>
    </row>
    <row r="60">
      <c r="A60" s="41" t="inlineStr">
        <is>
          <t>recording_stages/recording_segments</t>
        </is>
      </c>
      <c r="B60" s="41" t="inlineStr">
        <is>
          <t>録画アクセス権者+sensitivity考慮</t>
        </is>
      </c>
      <c r="C60" s="41" t="inlineStr">
        <is>
          <t>public/internal/sensitive 段階</t>
        </is>
      </c>
      <c r="D60" s="41" t="inlineStr">
        <is>
          <t>owner/admin</t>
        </is>
      </c>
      <c r="E60" s="41" t="inlineStr">
        <is>
          <t>P1</t>
        </is>
      </c>
    </row>
    <row r="61">
      <c r="A61" s="41" t="inlineStr">
        <is>
          <t>pii_redactions</t>
        </is>
      </c>
      <c r="B61" s="41" t="inlineStr">
        <is>
          <t>録画アクセス権</t>
        </is>
      </c>
      <c r="C61" s="41" t="inlineStr">
        <is>
          <t>継承</t>
        </is>
      </c>
      <c r="D61" s="41" t="inlineStr">
        <is>
          <t>system</t>
        </is>
      </c>
      <c r="E61" s="41" t="inlineStr">
        <is>
          <t>P2</t>
        </is>
      </c>
    </row>
    <row r="62">
      <c r="A62" s="41" t="inlineStr">
        <is>
          <t>external_summaries</t>
        </is>
      </c>
      <c r="B62" s="41" t="inlineStr">
        <is>
          <t>録画アクセス権 + 共有token</t>
        </is>
      </c>
      <c r="C62" s="41" t="inlineStr">
        <is>
          <t>継承+token</t>
        </is>
      </c>
      <c r="D62" s="41" t="inlineStr">
        <is>
          <t>owner</t>
        </is>
      </c>
      <c r="E62" s="41" t="inlineStr">
        <is>
          <t>P2</t>
        </is>
      </c>
    </row>
    <row r="63">
      <c r="A63" s="41" t="inlineStr">
        <is>
          <t>complaints</t>
        </is>
      </c>
      <c r="B63" s="41" t="inlineStr">
        <is>
          <t>担当CS+営業+admin</t>
        </is>
      </c>
      <c r="C63" s="41" t="inlineStr">
        <is>
          <t>関係者</t>
        </is>
      </c>
      <c r="D63" s="41" t="inlineStr">
        <is>
          <t>担当者</t>
        </is>
      </c>
      <c r="E63" s="41" t="inlineStr">
        <is>
          <t>P3</t>
        </is>
      </c>
    </row>
    <row r="64">
      <c r="A64" s="41" t="inlineStr">
        <is>
          <t>complaint_meeting_links</t>
        </is>
      </c>
      <c r="B64" s="41" t="inlineStr">
        <is>
          <t>関連商談アクセス権</t>
        </is>
      </c>
      <c r="C64" s="41" t="inlineStr">
        <is>
          <t>継承</t>
        </is>
      </c>
      <c r="D64" s="41" t="inlineStr">
        <is>
          <t>担当者</t>
        </is>
      </c>
      <c r="E64" s="41" t="inlineStr">
        <is>
          <t>P3</t>
        </is>
      </c>
    </row>
    <row r="65">
      <c r="A65" s="41" t="inlineStr">
        <is>
          <t>alignment_reports</t>
        </is>
      </c>
      <c r="B65" s="41" t="inlineStr">
        <is>
          <t>関連handoff権限</t>
        </is>
      </c>
      <c r="C65" s="41" t="inlineStr">
        <is>
          <t>関係者</t>
        </is>
      </c>
      <c r="D65" s="41" t="inlineStr">
        <is>
          <t>reporter</t>
        </is>
      </c>
      <c r="E65" s="41" t="inlineStr">
        <is>
          <t>P2</t>
        </is>
      </c>
    </row>
    <row r="66">
      <c r="A66" s="41" t="inlineStr">
        <is>
          <t>contract_renewals</t>
        </is>
      </c>
      <c r="B66" s="41" t="inlineStr">
        <is>
          <t>契約担当+CS+admin</t>
        </is>
      </c>
      <c r="C66" s="41" t="inlineStr">
        <is>
          <t>関係者</t>
        </is>
      </c>
      <c r="D66" s="41" t="inlineStr">
        <is>
          <t>担当者</t>
        </is>
      </c>
      <c r="E66" s="41" t="inlineStr">
        <is>
          <t>P2</t>
        </is>
      </c>
    </row>
    <row r="67">
      <c r="A67" s="41" t="inlineStr">
        <is>
          <t>upsell_signals</t>
        </is>
      </c>
      <c r="B67" s="41" t="inlineStr">
        <is>
          <t>営業/CS</t>
        </is>
      </c>
      <c r="C67" s="41" t="inlineStr">
        <is>
          <t>関係者</t>
        </is>
      </c>
      <c r="D67" s="41" t="inlineStr">
        <is>
          <t>trigger+担当者</t>
        </is>
      </c>
      <c r="E67" s="41" t="inlineStr">
        <is>
          <t>P3</t>
        </is>
      </c>
    </row>
    <row r="68">
      <c r="A68" s="41" t="inlineStr">
        <is>
          <t>email_undo_tokens</t>
        </is>
      </c>
      <c r="B68" s="41" t="inlineStr">
        <is>
          <t>本人のみ</t>
        </is>
      </c>
      <c r="C68" s="41" t="inlineStr">
        <is>
          <t>self</t>
        </is>
      </c>
      <c r="D68" s="41" t="inlineStr">
        <is>
          <t>self</t>
        </is>
      </c>
      <c r="E68" s="41" t="inlineStr">
        <is>
          <t>P2</t>
        </is>
      </c>
    </row>
    <row r="69">
      <c r="A69" s="41" t="inlineStr">
        <is>
          <t>sync_failure_log</t>
        </is>
      </c>
      <c r="B69" s="41" t="inlineStr">
        <is>
          <t>本人+admin</t>
        </is>
      </c>
      <c r="C69" s="41" t="inlineStr">
        <is>
          <t>self/admin</t>
        </is>
      </c>
      <c r="D69" s="41" t="inlineStr">
        <is>
          <t>system</t>
        </is>
      </c>
      <c r="E69" s="41" t="inlineStr">
        <is>
          <t>P1</t>
        </is>
      </c>
    </row>
    <row r="70">
      <c r="A70" s="41" t="inlineStr">
        <is>
          <t>permission_requests</t>
        </is>
      </c>
      <c r="B70" s="41" t="inlineStr">
        <is>
          <t>requester+approver</t>
        </is>
      </c>
      <c r="C70" s="41" t="inlineStr">
        <is>
          <t>関係者</t>
        </is>
      </c>
      <c r="D70" s="41" t="inlineStr">
        <is>
          <t>requester</t>
        </is>
      </c>
      <c r="E70" s="41" t="inlineStr">
        <is>
          <t>P2</t>
        </is>
      </c>
    </row>
    <row r="71">
      <c r="A71" s="41" t="inlineStr">
        <is>
          <t>autosave_drafts</t>
        </is>
      </c>
      <c r="B71" s="41" t="inlineStr">
        <is>
          <t>本人のみ</t>
        </is>
      </c>
      <c r="C71" s="41" t="inlineStr">
        <is>
          <t>self</t>
        </is>
      </c>
      <c r="D71" s="41" t="inlineStr">
        <is>
          <t>self</t>
        </is>
      </c>
      <c r="E71" s="41" t="inlineStr">
        <is>
          <t>P1</t>
        </is>
      </c>
    </row>
    <row r="72">
      <c r="A72" s="41" t="inlineStr">
        <is>
          <t>dangerous_action_audits</t>
        </is>
      </c>
      <c r="B72" s="41" t="inlineStr">
        <is>
          <t>admin readonly</t>
        </is>
      </c>
      <c r="C72" s="41" t="inlineStr">
        <is>
          <t>admin</t>
        </is>
      </c>
      <c r="D72" s="41" t="inlineStr">
        <is>
          <t>system</t>
        </is>
      </c>
      <c r="E72" s="41" t="inlineStr">
        <is>
          <t>P2</t>
        </is>
      </c>
    </row>
    <row r="73">
      <c r="A73" s="41" t="inlineStr">
        <is>
          <t>meeting_consent_captures</t>
        </is>
      </c>
      <c r="B73" s="41" t="inlineStr">
        <is>
          <t>商談アクセス権</t>
        </is>
      </c>
      <c r="C73" s="41" t="inlineStr">
        <is>
          <t>継承</t>
        </is>
      </c>
      <c r="D73" s="41" t="inlineStr">
        <is>
          <t>system</t>
        </is>
      </c>
      <c r="E73" s="41" t="inlineStr">
        <is>
          <t>P2</t>
        </is>
      </c>
    </row>
    <row r="74">
      <c r="A74" s="41" t="inlineStr">
        <is>
          <t>data_deletion_requests</t>
        </is>
      </c>
      <c r="B74" s="41" t="inlineStr">
        <is>
          <t>admin/legal</t>
        </is>
      </c>
      <c r="C74" s="41" t="inlineStr">
        <is>
          <t>admin</t>
        </is>
      </c>
      <c r="D74" s="41" t="inlineStr">
        <is>
          <t>admin/system</t>
        </is>
      </c>
      <c r="E74" s="41" t="inlineStr">
        <is>
          <t>P2</t>
        </is>
      </c>
    </row>
    <row r="75">
      <c r="A75" s="41" t="inlineStr">
        <is>
          <t>ex_employee_speech_policies</t>
        </is>
      </c>
      <c r="B75" s="41" t="inlineStr">
        <is>
          <t>admin</t>
        </is>
      </c>
      <c r="C75" s="41" t="inlineStr">
        <is>
          <t>admin</t>
        </is>
      </c>
      <c r="D75" s="41" t="inlineStr">
        <is>
          <t>admin</t>
        </is>
      </c>
      <c r="E75" s="41" t="inlineStr">
        <is>
          <t>P3</t>
        </is>
      </c>
    </row>
    <row r="76">
      <c r="A76" s="41" t="inlineStr">
        <is>
          <t>legal_disclosure_requests</t>
        </is>
      </c>
      <c r="B76" s="41" t="inlineStr">
        <is>
          <t>admin/legal</t>
        </is>
      </c>
      <c r="C76" s="41" t="inlineStr">
        <is>
          <t>admin/legal</t>
        </is>
      </c>
      <c r="D76" s="41" t="inlineStr">
        <is>
          <t>admin</t>
        </is>
      </c>
      <c r="E76" s="41" t="inlineStr">
        <is>
          <t>P3</t>
        </is>
      </c>
    </row>
    <row r="77">
      <c r="A77" s="41" t="inlineStr">
        <is>
          <t>data_residency_config</t>
        </is>
      </c>
      <c r="B77" s="41" t="inlineStr">
        <is>
          <t>org_admin</t>
        </is>
      </c>
      <c r="C77" s="41" t="inlineStr">
        <is>
          <t>org</t>
        </is>
      </c>
      <c r="D77" s="41" t="inlineStr">
        <is>
          <t>org_admin</t>
        </is>
      </c>
      <c r="E77" s="41" t="inlineStr">
        <is>
          <t>P1</t>
        </is>
      </c>
    </row>
    <row r="78">
      <c r="A78" s="41" t="inlineStr">
        <is>
          <t>recent_views</t>
        </is>
      </c>
      <c r="B78" s="41" t="inlineStr">
        <is>
          <t>本人のみ</t>
        </is>
      </c>
      <c r="C78" s="41" t="inlineStr">
        <is>
          <t>self</t>
        </is>
      </c>
      <c r="D78" s="41" t="inlineStr">
        <is>
          <t>self</t>
        </is>
      </c>
      <c r="E78" s="41" t="inlineStr">
        <is>
          <t>P1</t>
        </is>
      </c>
    </row>
    <row r="79">
      <c r="A79" s="41" t="inlineStr">
        <is>
          <t>chat_citations</t>
        </is>
      </c>
      <c r="B79" s="41" t="inlineStr">
        <is>
          <t>本人+admin</t>
        </is>
      </c>
      <c r="C79" s="41" t="inlineStr">
        <is>
          <t>self/admin</t>
        </is>
      </c>
      <c r="D79" s="41" t="inlineStr">
        <is>
          <t>system</t>
        </is>
      </c>
      <c r="E79" s="41" t="inlineStr">
        <is>
          <t>P3</t>
        </is>
      </c>
    </row>
    <row r="80">
      <c r="A80" s="41" t="inlineStr">
        <is>
          <t>push_subscriptions</t>
        </is>
      </c>
      <c r="B80" s="41" t="inlineStr">
        <is>
          <t>本人のみ</t>
        </is>
      </c>
      <c r="C80" s="41" t="inlineStr">
        <is>
          <t>self</t>
        </is>
      </c>
      <c r="D80" s="41" t="inlineStr">
        <is>
          <t>self</t>
        </is>
      </c>
      <c r="E80" s="41" t="inlineStr">
        <is>
          <t>P2</t>
        </is>
      </c>
    </row>
    <row r="81">
      <c r="A81" s="41" t="inlineStr">
        <is>
          <t>voice_memos</t>
        </is>
      </c>
      <c r="B81" s="41" t="inlineStr">
        <is>
          <t>本人+紐付商談アクセス権</t>
        </is>
      </c>
      <c r="C81" s="41" t="inlineStr">
        <is>
          <t>関係者</t>
        </is>
      </c>
      <c r="D81" s="41" t="inlineStr">
        <is>
          <t>本人</t>
        </is>
      </c>
      <c r="E81" s="41" t="inlineStr">
        <is>
          <t>P2</t>
        </is>
      </c>
    </row>
    <row r="82">
      <c r="A82" s="41" t="inlineStr">
        <is>
          <t>data_exports</t>
        </is>
      </c>
      <c r="B82" s="41" t="inlineStr">
        <is>
          <t>本人のみ</t>
        </is>
      </c>
      <c r="C82" s="41" t="inlineStr">
        <is>
          <t>self</t>
        </is>
      </c>
      <c r="D82" s="41" t="inlineStr">
        <is>
          <t>self</t>
        </is>
      </c>
      <c r="E82" s="41" t="inlineStr">
        <is>
          <t>P3</t>
        </is>
      </c>
    </row>
    <row r="83">
      <c r="A83" s="41" t="inlineStr">
        <is>
          <t>backup_status</t>
        </is>
      </c>
      <c r="B83" s="41" t="inlineStr">
        <is>
          <t>admin</t>
        </is>
      </c>
      <c r="C83" s="41" t="inlineStr">
        <is>
          <t>admin</t>
        </is>
      </c>
      <c r="D83" s="41" t="inlineStr">
        <is>
          <t>system</t>
        </is>
      </c>
      <c r="E83" s="41" t="inlineStr">
        <is>
          <t>P2</t>
        </is>
      </c>
    </row>
    <row r="84">
      <c r="A84" s="41" t="inlineStr">
        <is>
          <t>feature_flags</t>
        </is>
      </c>
      <c r="B84" s="41" t="inlineStr">
        <is>
          <t>admin write / 全員read</t>
        </is>
      </c>
      <c r="C84" s="41" t="inlineStr">
        <is>
          <t>all</t>
        </is>
      </c>
      <c r="D84" s="41" t="inlineStr">
        <is>
          <t>admin</t>
        </is>
      </c>
      <c r="E84" s="41" t="inlineStr">
        <is>
          <t>P2</t>
        </is>
      </c>
    </row>
    <row r="85">
      <c r="A85" s="41" t="inlineStr">
        <is>
          <t>ab_test_*</t>
        </is>
      </c>
      <c r="B85" s="41" t="inlineStr">
        <is>
          <t>admin write / 本人read自分の割当</t>
        </is>
      </c>
      <c r="C85" s="41" t="inlineStr">
        <is>
          <t>admin/self</t>
        </is>
      </c>
      <c r="D85" s="41" t="inlineStr">
        <is>
          <t>admin</t>
        </is>
      </c>
      <c r="E85" s="41" t="inlineStr">
        <is>
          <t>P3</t>
        </is>
      </c>
    </row>
    <row r="86">
      <c r="A86" s="41" t="inlineStr">
        <is>
          <t>optimistic_lock_versions</t>
        </is>
      </c>
      <c r="B86" s="41" t="inlineStr">
        <is>
          <t>resource RLS継承</t>
        </is>
      </c>
      <c r="C86" s="41" t="inlineStr">
        <is>
          <t>継承</t>
        </is>
      </c>
      <c r="D86" s="41" t="inlineStr">
        <is>
          <t>継承</t>
        </is>
      </c>
      <c r="E86" s="41" t="inlineStr">
        <is>
          <t>P2</t>
        </is>
      </c>
    </row>
    <row r="87">
      <c r="A87" s="41" t="inlineStr">
        <is>
          <t>■ 横断ポリシー</t>
        </is>
      </c>
      <c r="B87" s="41" t="n"/>
      <c r="C87" s="41" t="n"/>
      <c r="D87" s="41" t="n"/>
      <c r="E87" s="41" t="n"/>
    </row>
    <row r="88">
      <c r="A88" s="41" t="inlineStr">
        <is>
          <t>MFA要</t>
        </is>
      </c>
      <c r="B88" s="41" t="inlineStr">
        <is>
          <t>破壊的アクション(rollback/legal export/policy変更)</t>
        </is>
      </c>
      <c r="C88" s="41" t="inlineStr">
        <is>
          <t>-</t>
        </is>
      </c>
      <c r="D88" s="41" t="inlineStr">
        <is>
          <t>require_mfa</t>
        </is>
      </c>
      <c r="E88" s="41" t="inlineStr">
        <is>
          <t>P2</t>
        </is>
      </c>
    </row>
    <row r="89">
      <c r="A89" s="41" t="inlineStr">
        <is>
          <t>Audit</t>
        </is>
      </c>
      <c r="B89" s="41" t="inlineStr">
        <is>
          <t>INSERT/UPDATE/DELETEのうち sensitive table 全件</t>
        </is>
      </c>
      <c r="C89" s="41" t="inlineStr">
        <is>
          <t>-</t>
        </is>
      </c>
      <c r="D89" s="41" t="inlineStr">
        <is>
          <t>triggers→audit_logs</t>
        </is>
      </c>
      <c r="E89" s="41" t="inlineStr">
        <is>
          <t>P2</t>
        </is>
      </c>
    </row>
    <row r="90">
      <c r="A90" s="41" t="inlineStr">
        <is>
          <t>Sensitivity tier</t>
        </is>
      </c>
      <c r="B90" s="41" t="inlineStr">
        <is>
          <t>public/internal/sensitive で SELECT を段階適用</t>
        </is>
      </c>
      <c r="C90" s="41" t="inlineStr">
        <is>
          <t>-</t>
        </is>
      </c>
      <c r="D90" s="41" t="inlineStr">
        <is>
          <t>-</t>
        </is>
      </c>
      <c r="E90" s="41" t="inlineStr">
        <is>
          <t>P1</t>
        </is>
      </c>
    </row>
    <row r="91">
      <c r="A91" s="41" t="inlineStr">
        <is>
          <t>Soft delete</t>
        </is>
      </c>
      <c r="B91" s="41" t="inlineStr">
        <is>
          <t>主要テーブルに deleted_at; 30日purge</t>
        </is>
      </c>
      <c r="C91" s="41" t="inlineStr">
        <is>
          <t>-</t>
        </is>
      </c>
      <c r="D91" s="41" t="inlineStr">
        <is>
          <t>triggers</t>
        </is>
      </c>
      <c r="E91" s="41" t="inlineStr">
        <is>
          <t>P2</t>
        </is>
      </c>
    </row>
    <row r="92">
      <c r="A92" s="41" t="inlineStr">
        <is>
          <t>Idempotency</t>
        </is>
      </c>
      <c r="B92" s="41" t="inlineStr">
        <is>
          <t>mutating endpointsで Idempotency-Key header</t>
        </is>
      </c>
      <c r="C92" s="41" t="inlineStr">
        <is>
          <t>-</t>
        </is>
      </c>
      <c r="D92" s="41" t="inlineStr">
        <is>
          <t>-</t>
        </is>
      </c>
      <c r="E92" s="41" t="inlineStr">
        <is>
          <t>P1</t>
        </is>
      </c>
    </row>
    <row r="93">
      <c r="A93" s="41" t="inlineStr">
        <is>
          <t>Rate limit</t>
        </is>
      </c>
      <c r="B93" s="41" t="inlineStr">
        <is>
          <t>/api/* user毎 60rpm; admin系 10rpm</t>
        </is>
      </c>
      <c r="C93" s="41" t="inlineStr">
        <is>
          <t>-</t>
        </is>
      </c>
      <c r="D93" s="41" t="inlineStr">
        <is>
          <t>-</t>
        </is>
      </c>
      <c r="E93" s="41" t="inlineStr">
        <is>
          <t>P1</t>
        </is>
      </c>
    </row>
    <row r="94">
      <c r="A94" s="41" t="inlineStr">
        <is>
          <t>CORS</t>
        </is>
      </c>
      <c r="B94" s="41" t="inlineStr">
        <is>
          <t>明示allowlist; preflight cache</t>
        </is>
      </c>
      <c r="C94" s="41" t="inlineStr">
        <is>
          <t>-</t>
        </is>
      </c>
      <c r="D94" s="41" t="inlineStr">
        <is>
          <t>-</t>
        </is>
      </c>
      <c r="E94" s="41" t="inlineStr">
        <is>
          <t>P1</t>
        </is>
      </c>
    </row>
    <row r="95">
      <c r="A95" s="41" t="inlineStr">
        <is>
          <t>CSP</t>
        </is>
      </c>
      <c r="B95" s="41" t="inlineStr">
        <is>
          <t>strict; nonce-based</t>
        </is>
      </c>
      <c r="C95" s="41" t="inlineStr">
        <is>
          <t>-</t>
        </is>
      </c>
      <c r="D95" s="41" t="inlineStr">
        <is>
          <t>-</t>
        </is>
      </c>
      <c r="E95" s="41" t="inlineStr">
        <is>
          <t>P1</t>
        </is>
      </c>
    </row>
    <row r="96">
      <c r="A96" s="41" t="inlineStr">
        <is>
          <t>署名URL</t>
        </is>
      </c>
      <c r="B96" s="41" t="inlineStr">
        <is>
          <t>R2はexpires≤300s; メールクリックで再発行</t>
        </is>
      </c>
      <c r="C96" s="41" t="inlineStr">
        <is>
          <t>-</t>
        </is>
      </c>
      <c r="D96" s="41" t="inlineStr">
        <is>
          <t>-</t>
        </is>
      </c>
      <c r="E96" s="41" t="inlineStr">
        <is>
          <t>P1</t>
        </is>
      </c>
    </row>
    <row r="97">
      <c r="A97" s="41" t="inlineStr">
        <is>
          <t>Webhook secret rotation</t>
        </is>
      </c>
      <c r="B97" s="41" t="inlineStr">
        <is>
          <t>90日</t>
        </is>
      </c>
      <c r="C97" s="41" t="inlineStr">
        <is>
          <t>-</t>
        </is>
      </c>
      <c r="D97" s="41" t="inlineStr">
        <is>
          <t>-</t>
        </is>
      </c>
      <c r="E97" s="41" t="inlineStr">
        <is>
          <t>P2</t>
        </is>
      </c>
    </row>
    <row r="99">
      <c r="A99" s="41" t="inlineStr">
        <is>
          <t>■ Round1指摘反映の横断追記(v2.1)</t>
        </is>
      </c>
      <c r="B99" s="41" t="n"/>
      <c r="C99" s="41" t="n"/>
      <c r="D99" s="41" t="n"/>
      <c r="E99" s="41" t="n"/>
    </row>
    <row r="100">
      <c r="A100" s="41" t="inlineStr">
        <is>
          <t>対象</t>
        </is>
      </c>
      <c r="B100" s="41" t="inlineStr">
        <is>
          <t>ルール</t>
        </is>
      </c>
      <c r="C100" s="41" t="inlineStr">
        <is>
          <t>SELECT</t>
        </is>
      </c>
      <c r="D100" s="41" t="inlineStr">
        <is>
          <t>INSERT/UPDATE/DELETE</t>
        </is>
      </c>
      <c r="E100" s="41" t="inlineStr">
        <is>
          <t>Phase</t>
        </is>
      </c>
    </row>
    <row r="101">
      <c r="A101" s="41" t="inlineStr">
        <is>
          <t>org_id 統一</t>
        </is>
      </c>
      <c r="B101" s="41" t="inlineStr">
        <is>
          <t>全テーブルに org_id NOT NULL,RLS基本句 (org_id=current_setting('app.org_id')::uuid AND ...)</t>
        </is>
      </c>
      <c r="C101" s="41" t="inlineStr">
        <is>
          <t>-</t>
        </is>
      </c>
      <c r="D101" s="41" t="inlineStr">
        <is>
          <t>-</t>
        </is>
      </c>
      <c r="E101" s="41" t="inlineStr">
        <is>
          <t>P1</t>
        </is>
      </c>
    </row>
    <row r="102">
      <c r="A102" s="41" t="inlineStr">
        <is>
          <t>recording_segments(改)</t>
        </is>
      </c>
      <c r="B102" s="41" t="inlineStr">
        <is>
          <t>sensitivity tier段階(public/internal/sensitive)で SELECT 段階適用</t>
        </is>
      </c>
      <c r="C102" s="41" t="inlineStr">
        <is>
          <t>public:org/internal:owner+manager/sensitive:owner+admin+legal</t>
        </is>
      </c>
      <c r="D102" s="41" t="inlineStr">
        <is>
          <t>owner+admin</t>
        </is>
      </c>
      <c r="E102" s="41" t="inlineStr">
        <is>
          <t>P1</t>
        </is>
      </c>
    </row>
    <row r="103">
      <c r="A103" s="41" t="inlineStr">
        <is>
          <t>audit_logs(改)</t>
        </is>
      </c>
      <c r="B103" s="41" t="inlineStr">
        <is>
          <t>append-only(全role REVOKE UPDATE/DELETE; service_role INSERTのみ)+prev_hash chain</t>
        </is>
      </c>
      <c r="C103" s="41" t="inlineStr">
        <is>
          <t>admin/legal</t>
        </is>
      </c>
      <c r="D103" s="41" t="inlineStr">
        <is>
          <t>service_role only</t>
        </is>
      </c>
      <c r="E103" s="41" t="inlineStr">
        <is>
          <t>P2</t>
        </is>
      </c>
    </row>
    <row r="104">
      <c r="A104" s="41" t="inlineStr">
        <is>
          <t>share-link RPC</t>
        </is>
      </c>
      <c r="B104" s="41" t="inlineStr">
        <is>
          <t>share_link_access専用Edge Function/RPC、token verify+rate limit+audit強制</t>
        </is>
      </c>
      <c r="C104" s="41" t="inlineStr">
        <is>
          <t>-</t>
        </is>
      </c>
      <c r="D104" s="41" t="inlineStr">
        <is>
          <t>Route Handlerからservice_role直接DB禁止</t>
        </is>
      </c>
      <c r="E104" s="41" t="inlineStr">
        <is>
          <t>P1</t>
        </is>
      </c>
    </row>
    <row r="105">
      <c r="A105" s="41" t="inlineStr">
        <is>
          <t>embeddings RPC</t>
        </is>
      </c>
      <c r="B105" s="41" t="inlineStr">
        <is>
          <t>SECURITY DEFINER+関数内auth.uid権限判定+sensitivity prefilter</t>
        </is>
      </c>
      <c r="C105" s="41" t="inlineStr">
        <is>
          <t>-</t>
        </is>
      </c>
      <c r="D105" s="41" t="inlineStr">
        <is>
          <t>-</t>
        </is>
      </c>
      <c r="E105" s="41" t="inlineStr">
        <is>
          <t>P1</t>
        </is>
      </c>
    </row>
    <row r="106">
      <c r="A106" s="41" t="inlineStr">
        <is>
          <t>MFA要</t>
        </is>
      </c>
      <c r="B106" s="41" t="inlineStr">
        <is>
          <t>admin大量削除/PITR rollback/legal export/policy変更/llm killswitch</t>
        </is>
      </c>
      <c r="C106" s="41" t="inlineStr">
        <is>
          <t>-</t>
        </is>
      </c>
      <c r="D106" s="41" t="inlineStr">
        <is>
          <t>require_mfa+dual_approver</t>
        </is>
      </c>
      <c r="E106" s="41" t="inlineStr">
        <is>
          <t>P2</t>
        </is>
      </c>
    </row>
    <row r="107">
      <c r="A107" s="41" t="inlineStr">
        <is>
          <t>dual approval</t>
        </is>
      </c>
      <c r="B107" s="41" t="inlineStr">
        <is>
          <t>legal export/policy変更</t>
        </is>
      </c>
      <c r="C107" s="41" t="inlineStr">
        <is>
          <t>-</t>
        </is>
      </c>
      <c r="D107" s="41" t="inlineStr">
        <is>
          <t>admin+legal両方の承認</t>
        </is>
      </c>
      <c r="E107" s="41" t="inlineStr">
        <is>
          <t>P3</t>
        </is>
      </c>
    </row>
    <row r="108">
      <c r="A108" s="41" t="inlineStr">
        <is>
          <t>service_role分離</t>
        </is>
      </c>
      <c r="B108" s="41" t="inlineStr">
        <is>
          <t>Next.js Route Handlerでは service_role禁止、worker専用</t>
        </is>
      </c>
      <c r="C108" s="41" t="inlineStr">
        <is>
          <t>-</t>
        </is>
      </c>
      <c r="D108" s="41" t="inlineStr">
        <is>
          <t>-</t>
        </is>
      </c>
      <c r="E108" s="41" t="inlineStr">
        <is>
          <t>P1</t>
        </is>
      </c>
    </row>
    <row r="109">
      <c r="A109" s="41" t="inlineStr">
        <is>
          <t>gitleaks CI</t>
        </is>
      </c>
      <c r="B109" s="41" t="inlineStr">
        <is>
          <t>secret push検知</t>
        </is>
      </c>
      <c r="C109" s="41" t="inlineStr">
        <is>
          <t>-</t>
        </is>
      </c>
      <c r="D109" s="41" t="inlineStr">
        <is>
          <t>CI gate</t>
        </is>
      </c>
      <c r="E109" s="41" t="inlineStr">
        <is>
          <t>P1</t>
        </is>
      </c>
    </row>
    <row r="110">
      <c r="A110" s="41" t="inlineStr">
        <is>
          <t>Idempotency-Key必須エンドポイント</t>
        </is>
      </c>
      <c r="B110" s="41" t="inlineStr">
        <is>
          <t>副作用ある全mutating(send/confirm/delete/export等)</t>
        </is>
      </c>
      <c r="C110" s="41" t="inlineStr">
        <is>
          <t>-</t>
        </is>
      </c>
      <c r="D110" s="41" t="inlineStr">
        <is>
          <t>middleware強制</t>
        </is>
      </c>
      <c r="E110" s="41" t="inlineStr">
        <is>
          <t>P1</t>
        </is>
      </c>
    </row>
    <row r="111">
      <c r="A111" s="41" t="inlineStr">
        <is>
          <t>Rate limit endpoint group</t>
        </is>
      </c>
      <c r="B111" s="41" t="inlineStr">
        <is>
          <t>webhook=外形+secret/search=30rpm/ocr=10/min/admin=10rpm</t>
        </is>
      </c>
      <c r="C111" s="41" t="inlineStr">
        <is>
          <t>-</t>
        </is>
      </c>
      <c r="D111" s="41" t="inlineStr">
        <is>
          <t>-</t>
        </is>
      </c>
      <c r="E111" s="41" t="inlineStr">
        <is>
          <t>P1</t>
        </is>
      </c>
    </row>
    <row r="112">
      <c r="A112" s="41" t="inlineStr">
        <is>
          <t>share_links token</t>
        </is>
      </c>
      <c r="B112" s="41" t="inlineStr">
        <is>
          <t>sha256でDB保存、URLのみ平文</t>
        </is>
      </c>
      <c r="C112" s="41" t="inlineStr">
        <is>
          <t>-</t>
        </is>
      </c>
      <c r="D112" s="41" t="inlineStr">
        <is>
          <t>-</t>
        </is>
      </c>
      <c r="E112" s="41" t="inlineStr">
        <is>
          <t>P1</t>
        </is>
      </c>
    </row>
    <row r="113">
      <c r="A113" s="41" t="inlineStr">
        <is>
          <t>share_links password_hash</t>
        </is>
      </c>
      <c r="B113" s="41" t="inlineStr">
        <is>
          <t>argon2id強制</t>
        </is>
      </c>
      <c r="C113" s="41" t="inlineStr">
        <is>
          <t>-</t>
        </is>
      </c>
      <c r="D113" s="41" t="inlineStr">
        <is>
          <t>-</t>
        </is>
      </c>
      <c r="E113" s="41" t="inlineStr">
        <is>
          <t>P2</t>
        </is>
      </c>
    </row>
    <row r="114">
      <c r="A114" s="41" t="inlineStr">
        <is>
          <t>customer_timezones参照夜間ブロック</t>
        </is>
      </c>
      <c r="B114" s="41" t="inlineStr">
        <is>
          <t>顧客ローカル23-7時送信ブロック</t>
        </is>
      </c>
      <c r="C114" s="41" t="inlineStr">
        <is>
          <t>-</t>
        </is>
      </c>
      <c r="D114" s="41" t="inlineStr">
        <is>
          <t>-</t>
        </is>
      </c>
      <c r="E114" s="41" t="inlineStr">
        <is>
          <t>P2</t>
        </is>
      </c>
    </row>
    <row r="115">
      <c r="A115" s="41" t="inlineStr">
        <is>
          <t>IndexedDB暗号化</t>
        </is>
      </c>
      <c r="B115" s="41" t="inlineStr">
        <is>
          <t>libsodium、key=session-bound</t>
        </is>
      </c>
      <c r="C115" s="41" t="inlineStr">
        <is>
          <t>-</t>
        </is>
      </c>
      <c r="D115" s="41" t="inlineStr">
        <is>
          <t>-</t>
        </is>
      </c>
      <c r="E115" s="41" t="inlineStr">
        <is>
          <t>P1</t>
        </is>
      </c>
    </row>
    <row r="116">
      <c r="A116" s="41" t="inlineStr">
        <is>
          <t>CSP report-uri/report-to</t>
        </is>
      </c>
      <c r="B116" s="41" t="inlineStr">
        <is>
          <t>Sentry CSPレポート受信</t>
        </is>
      </c>
      <c r="C116" s="41" t="inlineStr">
        <is>
          <t>-</t>
        </is>
      </c>
      <c r="D116" s="41" t="inlineStr">
        <is>
          <t>-</t>
        </is>
      </c>
      <c r="E116" s="41" t="inlineStr">
        <is>
          <t>P2</t>
        </is>
      </c>
    </row>
    <row r="117">
      <c r="A117" s="41" t="inlineStr">
        <is>
          <t>WORM export</t>
        </is>
      </c>
      <c r="B117" s="41" t="inlineStr">
        <is>
          <t>audit_logs日次R2 Object Lock(compliance mode)</t>
        </is>
      </c>
      <c r="C117" s="41" t="inlineStr">
        <is>
          <t>-</t>
        </is>
      </c>
      <c r="D117" s="41" t="inlineStr">
        <is>
          <t>-</t>
        </is>
      </c>
      <c r="E117" s="41" t="inlineStr">
        <is>
          <t>P2</t>
        </is>
      </c>
    </row>
    <row r="118">
      <c r="A118" s="41" t="inlineStr">
        <is>
          <t>pen test</t>
        </is>
      </c>
      <c r="B118" s="41" t="inlineStr">
        <is>
          <t>P1終盤+年次</t>
        </is>
      </c>
      <c r="C118" s="41" t="inlineStr">
        <is>
          <t>-</t>
        </is>
      </c>
      <c r="D118" s="41" t="inlineStr">
        <is>
          <t>-</t>
        </is>
      </c>
      <c r="E118" s="41" t="inlineStr">
        <is>
          <t>P1</t>
        </is>
      </c>
    </row>
    <row r="119">
      <c r="A119" s="41" t="inlineStr">
        <is>
          <t>DPA: 委託先一覧</t>
        </is>
      </c>
      <c r="B119" s="41" t="inlineStr">
        <is>
          <t>Anthropic/OpenAI/Cloudflare/Render/Supabase明記、追加時30日前事前通知</t>
        </is>
      </c>
      <c r="C119" s="41" t="inlineStr">
        <is>
          <t>-</t>
        </is>
      </c>
      <c r="D119" s="41" t="inlineStr">
        <is>
          <t>-</t>
        </is>
      </c>
      <c r="E119" s="41" t="inlineStr">
        <is>
          <t>P1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7" min="1" max="2"/>
    <col width="8" customWidth="1" style="27" min="3" max="3"/>
    <col width="25" customWidth="1" style="27" min="4" max="5"/>
    <col width="10" customWidth="1" style="27" min="6" max="6"/>
    <col width="6" customWidth="1" style="27" min="7" max="7"/>
    <col width="80" customWidth="1" style="27" min="8" max="8"/>
  </cols>
  <sheetData>
    <row r="1" ht="24" customHeight="1" s="28">
      <c r="A1" s="45" t="inlineStr">
        <is>
          <t>Phase別実装計画</t>
        </is>
      </c>
    </row>
    <row r="2" ht="18" customHeight="1" s="28">
      <c r="A2" s="46" t="inlineStr">
        <is>
          <t>Claude Code への指示書として使用</t>
        </is>
      </c>
    </row>
    <row r="4" ht="21.75" customHeight="1" s="28">
      <c r="A4" s="47" t="inlineStr">
        <is>
          <t>■ Phase 1 (Week 1-4): データ基盤+録画アーカイブ</t>
        </is>
      </c>
    </row>
    <row r="5" ht="27.75" customHeight="1" s="28">
      <c r="A5" s="34" t="inlineStr">
        <is>
          <t>週</t>
        </is>
      </c>
      <c r="B5" s="34" t="inlineStr">
        <is>
          <t>日</t>
        </is>
      </c>
      <c r="C5" s="37" t="inlineStr">
        <is>
          <t>ID</t>
        </is>
      </c>
      <c r="D5" s="34" t="inlineStr">
        <is>
          <t>タスク</t>
        </is>
      </c>
      <c r="E5" s="34" t="inlineStr">
        <is>
          <t>成果物</t>
        </is>
      </c>
      <c r="F5" s="34" t="inlineStr">
        <is>
          <t>依存</t>
        </is>
      </c>
      <c r="G5" s="34" t="inlineStr">
        <is>
          <t>時間</t>
        </is>
      </c>
      <c r="H5" s="37" t="inlineStr">
        <is>
          <t>Claude Codeへの指示</t>
        </is>
      </c>
    </row>
    <row r="6" ht="29.85" customHeight="1" s="28">
      <c r="A6" s="35" t="inlineStr">
        <is>
          <t>W1</t>
        </is>
      </c>
      <c r="B6" s="35" t="inlineStr">
        <is>
          <t>D1</t>
        </is>
      </c>
      <c r="C6" s="35" t="inlineStr">
        <is>
          <t>T-001</t>
        </is>
      </c>
      <c r="D6" s="36" t="inlineStr">
        <is>
          <t>モノレポ初期化</t>
        </is>
      </c>
      <c r="E6" s="35" t="inlineStr">
        <is>
          <t>package.json, turbo.json, tsconfig共通</t>
        </is>
      </c>
      <c r="F6" s="35" t="inlineStr">
        <is>
          <t>-</t>
        </is>
      </c>
      <c r="G6" s="35" t="inlineStr">
        <is>
          <t>0.5d</t>
        </is>
      </c>
      <c r="H6" s="35" t="inlineStr">
        <is>
          <t>pnpm + Turborepo で apps/web (Next.js15), apps/worker (Hono), packages/db (Drizzle), packages/shared を生成。tsconfig共通化。</t>
        </is>
      </c>
    </row>
    <row r="7" ht="15" customHeight="1" s="28">
      <c r="A7" s="35" t="inlineStr">
        <is>
          <t>W1</t>
        </is>
      </c>
      <c r="B7" s="35" t="inlineStr">
        <is>
          <t>D1</t>
        </is>
      </c>
      <c r="C7" s="35" t="inlineStr">
        <is>
          <t>T-002</t>
        </is>
      </c>
      <c r="D7" s="35" t="inlineStr">
        <is>
          <t>Supabase プロジェクト作成</t>
        </is>
      </c>
      <c r="E7" s="35" t="inlineStr">
        <is>
          <t>project URL, keys</t>
        </is>
      </c>
      <c r="F7" s="35" t="inlineStr">
        <is>
          <t>-</t>
        </is>
      </c>
      <c r="G7" s="35" t="inlineStr">
        <is>
          <t>0.5d</t>
        </is>
      </c>
      <c r="H7" s="35" t="inlineStr">
        <is>
          <t>Supabase ダッシュボードで作成(手動)。Database拡張で pgvector, pgmq, pg_cron を有効化。</t>
        </is>
      </c>
    </row>
    <row r="8" ht="29.85" customHeight="1" s="28">
      <c r="A8" s="35" t="inlineStr">
        <is>
          <t>W1</t>
        </is>
      </c>
      <c r="B8" s="35" t="inlineStr">
        <is>
          <t>D2</t>
        </is>
      </c>
      <c r="C8" s="35" t="inlineStr">
        <is>
          <t>T-003</t>
        </is>
      </c>
      <c r="D8" s="35" t="inlineStr">
        <is>
          <t>Drizzle スキーマ実装</t>
        </is>
      </c>
      <c r="E8" s="35" t="inlineStr">
        <is>
          <t>packages/db/schema.ts</t>
        </is>
      </c>
      <c r="F8" s="35" t="inlineStr">
        <is>
          <t>T-001</t>
        </is>
      </c>
      <c r="G8" s="35" t="inlineStr">
        <is>
          <t>1d</t>
        </is>
      </c>
      <c r="H8" s="35" t="inlineStr">
        <is>
          <t>03_data_model シートの全P1テーブルを Drizzle 定義。drizzle-kit generate でmigration生成、push実行。</t>
        </is>
      </c>
    </row>
    <row r="9" ht="29.85" customHeight="1" s="28">
      <c r="A9" s="35" t="inlineStr">
        <is>
          <t>W1</t>
        </is>
      </c>
      <c r="B9" s="35" t="inlineStr">
        <is>
          <t>D3</t>
        </is>
      </c>
      <c r="C9" s="35" t="inlineStr">
        <is>
          <t>T-004</t>
        </is>
      </c>
      <c r="D9" s="35" t="inlineStr">
        <is>
          <t>RLS+RPC+トリガー</t>
        </is>
      </c>
      <c r="E9" s="35" t="inlineStr">
        <is>
          <t>migrations/0002_rls.sql</t>
        </is>
      </c>
      <c r="F9" s="35" t="inlineStr">
        <is>
          <t>T-003</t>
        </is>
      </c>
      <c r="G9" s="35" t="inlineStr">
        <is>
          <t>1d</t>
        </is>
      </c>
      <c r="H9" s="35" t="inlineStr">
        <is>
          <t>08_security_rls シートの全P1ポリシーをmigrationに。set_updated_at triggerと match_knowledge RPCも含める。</t>
        </is>
      </c>
    </row>
    <row r="10" ht="29.85" customHeight="1" s="28">
      <c r="A10" s="35" t="inlineStr">
        <is>
          <t>W1</t>
        </is>
      </c>
      <c r="B10" s="35" t="inlineStr">
        <is>
          <t>D4</t>
        </is>
      </c>
      <c r="C10" s="35" t="inlineStr">
        <is>
          <t>T-005</t>
        </is>
      </c>
      <c r="D10" s="36" t="inlineStr">
        <is>
          <t>認証基盤</t>
        </is>
      </c>
      <c r="E10" s="35" t="inlineStr">
        <is>
          <t>supabase auth+middleware</t>
        </is>
      </c>
      <c r="F10" s="35" t="inlineStr">
        <is>
          <t>T-002</t>
        </is>
      </c>
      <c r="G10" s="35" t="inlineStr">
        <is>
          <t>1d</t>
        </is>
      </c>
      <c r="H10" s="35" t="inlineStr">
        <is>
          <t>Supabase Auth Google Provider 設定。calendar/gmail スコープ追加。/login, /onboarding 画面実装、middlewareで未認証リダイレクト。</t>
        </is>
      </c>
    </row>
    <row r="11" ht="15" customHeight="1" s="28">
      <c r="A11" s="35" t="inlineStr">
        <is>
          <t>W1</t>
        </is>
      </c>
      <c r="B11" s="35" t="inlineStr">
        <is>
          <t>D5</t>
        </is>
      </c>
      <c r="C11" s="35" t="inlineStr">
        <is>
          <t>T-006</t>
        </is>
      </c>
      <c r="D11" s="35" t="inlineStr">
        <is>
          <t>Render デプロイ</t>
        </is>
      </c>
      <c r="E11" s="35" t="inlineStr">
        <is>
          <t>web service + worker service</t>
        </is>
      </c>
      <c r="F11" s="35" t="inlineStr">
        <is>
          <t>-</t>
        </is>
      </c>
      <c r="G11" s="35" t="inlineStr">
        <is>
          <t>0.5d</t>
        </is>
      </c>
      <c r="H11" s="35" t="inlineStr">
        <is>
          <t>render.yaml 作成。Web Service(Next.js) と Background Worker(Hono) を定義。環境変数設定。</t>
        </is>
      </c>
    </row>
    <row r="12" ht="29.85" customHeight="1" s="28">
      <c r="A12" s="35" t="inlineStr">
        <is>
          <t>W2</t>
        </is>
      </c>
      <c r="B12" s="35" t="inlineStr">
        <is>
          <t>D1-2</t>
        </is>
      </c>
      <c r="C12" s="35" t="inlineStr">
        <is>
          <t>T-007</t>
        </is>
      </c>
      <c r="D12" s="36" t="inlineStr">
        <is>
          <t>名刺アップロードUI(PC)</t>
        </is>
      </c>
      <c r="E12" s="35" t="inlineStr">
        <is>
          <t>/contacts/import</t>
        </is>
      </c>
      <c r="F12" s="35" t="inlineStr">
        <is>
          <t>T-005</t>
        </is>
      </c>
      <c r="G12" s="35" t="inlineStr">
        <is>
          <t>2d</t>
        </is>
      </c>
      <c r="H12" s="35" t="inlineStr">
        <is>
          <t>D&amp;Dで複数画像アップロード。Supabase Storage business-cards バケットへ保存。pgmq:process_business_card 投入。進捗は Realtime subscription で表示。</t>
        </is>
      </c>
    </row>
    <row r="13" ht="29.85" customHeight="1" s="28">
      <c r="A13" s="35" t="inlineStr">
        <is>
          <t>W2</t>
        </is>
      </c>
      <c r="B13" s="35" t="inlineStr">
        <is>
          <t>D3</t>
        </is>
      </c>
      <c r="C13" s="35" t="inlineStr">
        <is>
          <t>T-008</t>
        </is>
      </c>
      <c r="D13" s="36" t="inlineStr">
        <is>
          <t>モバイル名刺撮影</t>
        </is>
      </c>
      <c r="E13" s="35" t="inlineStr">
        <is>
          <t>/mobile/scan</t>
        </is>
      </c>
      <c r="F13" s="35" t="inlineStr">
        <is>
          <t>T-007</t>
        </is>
      </c>
      <c r="G13" s="35" t="inlineStr">
        <is>
          <t>1d</t>
        </is>
      </c>
      <c r="H13" s="35" t="inlineStr">
        <is>
          <t>getUserMediaでカメラ起動。auto-crop は CSS clip-path + 4点検出は v1ではユーザー手動。連続撮影モード。</t>
        </is>
      </c>
    </row>
    <row r="14" ht="29.85" customHeight="1" s="28">
      <c r="A14" s="35" t="inlineStr">
        <is>
          <t>W2</t>
        </is>
      </c>
      <c r="B14" s="35" t="inlineStr">
        <is>
          <t>D4</t>
        </is>
      </c>
      <c r="C14" s="35" t="inlineStr">
        <is>
          <t>T-009</t>
        </is>
      </c>
      <c r="D14" s="35" t="inlineStr">
        <is>
          <t>OCR Worker(business_card)</t>
        </is>
      </c>
      <c r="E14" s="35" t="inlineStr">
        <is>
          <t>apps/worker/jobs/process_business_card.ts</t>
        </is>
      </c>
      <c r="F14" s="35" t="inlineStr">
        <is>
          <t>T-006</t>
        </is>
      </c>
      <c r="G14" s="35" t="inlineStr">
        <is>
          <t>1d</t>
        </is>
      </c>
      <c r="H14" s="35" t="inlineStr">
        <is>
          <t>Vision API Document AI 呼び出し → PROMPT-02 でClaude整形 → 重複検知(domain+name) → contacts upsert。</t>
        </is>
      </c>
    </row>
    <row r="15" ht="15" customHeight="1" s="28">
      <c r="A15" s="35" t="inlineStr">
        <is>
          <t>W2</t>
        </is>
      </c>
      <c r="B15" s="35" t="inlineStr">
        <is>
          <t>D5</t>
        </is>
      </c>
      <c r="C15" s="35" t="inlineStr">
        <is>
          <t>T-010</t>
        </is>
      </c>
      <c r="D15" s="36" t="inlineStr">
        <is>
          <t>名刺レビュー画面</t>
        </is>
      </c>
      <c r="E15" s="35" t="inlineStr">
        <is>
          <t>/contacts/[id]/review</t>
        </is>
      </c>
      <c r="F15" s="35" t="inlineStr">
        <is>
          <t>T-009</t>
        </is>
      </c>
      <c r="G15" s="35" t="inlineStr">
        <is>
          <t>1d</t>
        </is>
      </c>
      <c r="H15" s="36" t="inlineStr">
        <is>
          <t>抽出フィールド編集フォーム。重複検出時はマージ/別人選択UIを表示。</t>
        </is>
      </c>
    </row>
    <row r="16" ht="29.85" customHeight="1" s="28">
      <c r="A16" s="35" t="inlineStr">
        <is>
          <t>W3</t>
        </is>
      </c>
      <c r="B16" s="35" t="inlineStr">
        <is>
          <t>D1</t>
        </is>
      </c>
      <c r="C16" s="35" t="inlineStr">
        <is>
          <t>T-011</t>
        </is>
      </c>
      <c r="D16" s="35" t="inlineStr">
        <is>
          <t>Zoom Webhook受信</t>
        </is>
      </c>
      <c r="E16" s="35" t="inlineStr">
        <is>
          <t>/api/webhooks/zoom</t>
        </is>
      </c>
      <c r="F16" s="35" t="inlineStr">
        <is>
          <t>T-006</t>
        </is>
      </c>
      <c r="G16" s="35" t="inlineStr">
        <is>
          <t>1d</t>
        </is>
      </c>
      <c r="H16" s="35" t="inlineStr">
        <is>
          <t>recording.completed 受信。x-zm-signature 検証。meetings/recordings upsert。pgmq:process_recording 投入。3秒以内200返却。</t>
        </is>
      </c>
    </row>
    <row r="17" ht="29.85" customHeight="1" s="28">
      <c r="A17" s="35" t="inlineStr">
        <is>
          <t>W3</t>
        </is>
      </c>
      <c r="B17" s="35" t="inlineStr">
        <is>
          <t>D2-3</t>
        </is>
      </c>
      <c r="C17" s="35" t="inlineStr">
        <is>
          <t>T-012</t>
        </is>
      </c>
      <c r="D17" s="36" t="inlineStr">
        <is>
          <t>録画処理Worker</t>
        </is>
      </c>
      <c r="E17" s="35" t="inlineStr">
        <is>
          <t>apps/worker/jobs/process_recording.ts</t>
        </is>
      </c>
      <c r="F17" s="35" t="inlineStr">
        <is>
          <t>T-011</t>
        </is>
      </c>
      <c r="G17" s="35" t="inlineStr">
        <is>
          <t>2d</t>
        </is>
      </c>
      <c r="H17" s="35" t="inlineStr">
        <is>
          <t>06_external_integrations の Zoom 録画フロー17ステップを実装。エラー時はprocessing_status=failed+管理者Slack通知。冪等性のためzoom_recording_id でユニーク。</t>
        </is>
      </c>
    </row>
    <row r="18" ht="29.85" customHeight="1" s="28">
      <c r="A18" s="35" t="inlineStr">
        <is>
          <t>W3</t>
        </is>
      </c>
      <c r="B18" s="35" t="inlineStr">
        <is>
          <t>D4</t>
        </is>
      </c>
      <c r="C18" s="35" t="inlineStr">
        <is>
          <t>T-013</t>
        </is>
      </c>
      <c r="D18" s="35" t="inlineStr">
        <is>
          <t>Embedding生成Worker</t>
        </is>
      </c>
      <c r="E18" s="35" t="inlineStr">
        <is>
          <t>apps/worker/jobs/generate_embeddings.ts</t>
        </is>
      </c>
      <c r="F18" s="35" t="inlineStr">
        <is>
          <t>T-012</t>
        </is>
      </c>
      <c r="G18" s="35" t="inlineStr">
        <is>
          <t>1d</t>
        </is>
      </c>
      <c r="H18" s="35" t="inlineStr">
        <is>
          <t>800トークンチャンク+overlap100。OpenAI text-embedding-3-small バッチAPI。knowledge_embeddings upsert。</t>
        </is>
      </c>
    </row>
    <row r="19" ht="29.85" customHeight="1" s="28">
      <c r="A19" s="35" t="inlineStr">
        <is>
          <t>W3</t>
        </is>
      </c>
      <c r="B19" s="35" t="inlineStr">
        <is>
          <t>D5</t>
        </is>
      </c>
      <c r="C19" s="35" t="inlineStr">
        <is>
          <t>T-014</t>
        </is>
      </c>
      <c r="D19" s="36" t="inlineStr">
        <is>
          <t>商談一覧+詳細画面</t>
        </is>
      </c>
      <c r="E19" s="35" t="inlineStr">
        <is>
          <t>/meetings, /meetings/[id]</t>
        </is>
      </c>
      <c r="F19" s="35" t="inlineStr">
        <is>
          <t>T-012</t>
        </is>
      </c>
      <c r="G19" s="35" t="inlineStr">
        <is>
          <t>1d</t>
        </is>
      </c>
      <c r="H19" s="35" t="inlineStr">
        <is>
          <t>Kanban(by stage) と Listを切替。詳細では文字起こしtimeline+ video player同期、抽出インサイト表示&amp;編集可能。</t>
        </is>
      </c>
    </row>
    <row r="20" ht="15" customHeight="1" s="28">
      <c r="A20" s="35" t="inlineStr">
        <is>
          <t>W4</t>
        </is>
      </c>
      <c r="B20" s="35" t="inlineStr">
        <is>
          <t>D1</t>
        </is>
      </c>
      <c r="C20" s="35" t="inlineStr">
        <is>
          <t>T-015</t>
        </is>
      </c>
      <c r="D20" s="36" t="inlineStr">
        <is>
          <t>ハイブリッド検索API</t>
        </is>
      </c>
      <c r="E20" s="35" t="inlineStr">
        <is>
          <t>/api/search</t>
        </is>
      </c>
      <c r="F20" s="35" t="inlineStr">
        <is>
          <t>T-013</t>
        </is>
      </c>
      <c r="G20" s="35" t="inlineStr">
        <is>
          <t>1d</t>
        </is>
      </c>
      <c r="H20" s="35" t="inlineStr">
        <is>
          <t>BM25(Postgres tsvector) + ベクトル類似度のRRF融合。リソース別グループ化。</t>
        </is>
      </c>
    </row>
    <row r="21" ht="15" customHeight="1" s="28">
      <c r="A21" s="35" t="inlineStr">
        <is>
          <t>W4</t>
        </is>
      </c>
      <c r="B21" s="35" t="inlineStr">
        <is>
          <t>D2</t>
        </is>
      </c>
      <c r="C21" s="35" t="inlineStr">
        <is>
          <t>T-016</t>
        </is>
      </c>
      <c r="D21" s="36" t="inlineStr">
        <is>
          <t>検索UI</t>
        </is>
      </c>
      <c r="E21" s="35" t="inlineStr">
        <is>
          <t>/search</t>
        </is>
      </c>
      <c r="F21" s="35" t="inlineStr">
        <is>
          <t>T-015</t>
        </is>
      </c>
      <c r="G21" s="35" t="inlineStr">
        <is>
          <t>1d</t>
        </is>
      </c>
      <c r="H21" s="36" t="inlineStr">
        <is>
          <t>クエリ入力、グループ別タブ、ハイライト、該当箇所ジャンプ。</t>
        </is>
      </c>
    </row>
    <row r="22" ht="29.85" customHeight="1" s="28">
      <c r="A22" s="35" t="inlineStr">
        <is>
          <t>W4</t>
        </is>
      </c>
      <c r="B22" s="35" t="inlineStr">
        <is>
          <t>D3</t>
        </is>
      </c>
      <c r="C22" s="35" t="inlineStr">
        <is>
          <t>T-017</t>
        </is>
      </c>
      <c r="D22" s="36" t="inlineStr">
        <is>
          <t>ユーザー管理</t>
        </is>
      </c>
      <c r="E22" s="35" t="inlineStr">
        <is>
          <t>/admin/users</t>
        </is>
      </c>
      <c r="F22" s="35" t="inlineStr">
        <is>
          <t>T-005</t>
        </is>
      </c>
      <c r="G22" s="35" t="inlineStr">
        <is>
          <t>1d</t>
        </is>
      </c>
      <c r="H22" s="36" t="inlineStr">
        <is>
          <t>招待メール(Resend)、ロール変更、退職処理(is_active=false, OAuthトークン削除, contacts.owner一括移管)。</t>
        </is>
      </c>
    </row>
    <row r="23" ht="15" customHeight="1" s="28">
      <c r="A23" s="35" t="inlineStr">
        <is>
          <t>W4</t>
        </is>
      </c>
      <c r="B23" s="35" t="inlineStr">
        <is>
          <t>D4</t>
        </is>
      </c>
      <c r="C23" s="35" t="inlineStr">
        <is>
          <t>T-018</t>
        </is>
      </c>
      <c r="D23" s="36" t="inlineStr">
        <is>
          <t>通知システム</t>
        </is>
      </c>
      <c r="E23" s="35" t="inlineStr">
        <is>
          <t>/api/notifications + UI</t>
        </is>
      </c>
      <c r="F23" s="35" t="inlineStr">
        <is>
          <t>-</t>
        </is>
      </c>
      <c r="G23" s="35" t="inlineStr">
        <is>
          <t>1d</t>
        </is>
      </c>
      <c r="H23" s="35" t="inlineStr">
        <is>
          <t>Realtime subscription でリアルタイム通知。録画処理完了/メール返信受信/引き継ぎ要請等。</t>
        </is>
      </c>
    </row>
    <row r="24" ht="15" customHeight="1" s="28">
      <c r="A24" s="35" t="inlineStr">
        <is>
          <t>W4</t>
        </is>
      </c>
      <c r="B24" s="35" t="inlineStr">
        <is>
          <t>D5</t>
        </is>
      </c>
      <c r="C24" s="35" t="inlineStr">
        <is>
          <t>T-019</t>
        </is>
      </c>
      <c r="D24" s="35" t="inlineStr">
        <is>
          <t>Phase1 統合テスト+デプロイ</t>
        </is>
      </c>
      <c r="E24" s="35" t="inlineStr">
        <is>
          <t>-</t>
        </is>
      </c>
      <c r="F24" s="36" t="inlineStr">
        <is>
          <t>全部</t>
        </is>
      </c>
      <c r="G24" s="35" t="inlineStr">
        <is>
          <t>1d</t>
        </is>
      </c>
      <c r="H24" s="35" t="inlineStr">
        <is>
          <t>E2Eシナリオ:名刺取り込み→商談作成→Zoom録画完了→処理完了→検索ヒット までを通す。</t>
        </is>
      </c>
    </row>
    <row r="25" ht="21.75" customHeight="1" s="28">
      <c r="A25" s="47" t="inlineStr">
        <is>
          <t>■ Phase 2 (Week 5-8): 日程調整自動化+ナレッジ+引き継ぎ</t>
        </is>
      </c>
    </row>
    <row r="26" ht="27.75" customHeight="1" s="28">
      <c r="A26" s="34" t="inlineStr">
        <is>
          <t>週</t>
        </is>
      </c>
      <c r="B26" s="34" t="inlineStr">
        <is>
          <t>日</t>
        </is>
      </c>
      <c r="C26" s="37" t="inlineStr">
        <is>
          <t>ID</t>
        </is>
      </c>
      <c r="D26" s="34" t="inlineStr">
        <is>
          <t>タスク</t>
        </is>
      </c>
      <c r="E26" s="34" t="inlineStr">
        <is>
          <t>成果物</t>
        </is>
      </c>
      <c r="F26" s="34" t="inlineStr">
        <is>
          <t>依存</t>
        </is>
      </c>
      <c r="G26" s="34" t="inlineStr">
        <is>
          <t>時間</t>
        </is>
      </c>
      <c r="H26" s="37" t="inlineStr">
        <is>
          <t>Claude Codeへの指示</t>
        </is>
      </c>
    </row>
    <row r="27" ht="15" customHeight="1" s="28">
      <c r="A27" s="35" t="inlineStr">
        <is>
          <t>W5</t>
        </is>
      </c>
      <c r="B27" s="35" t="inlineStr">
        <is>
          <t>D1-2</t>
        </is>
      </c>
      <c r="C27" s="35" t="inlineStr">
        <is>
          <t>T-020</t>
        </is>
      </c>
      <c r="D27" s="36" t="inlineStr">
        <is>
          <t>メールテンプレート管理</t>
        </is>
      </c>
      <c r="E27" s="35" t="inlineStr">
        <is>
          <t>/settings/templates</t>
        </is>
      </c>
      <c r="F27" s="35" t="inlineStr">
        <is>
          <t>P1完</t>
        </is>
      </c>
      <c r="G27" s="35" t="inlineStr">
        <is>
          <t>2d</t>
        </is>
      </c>
      <c r="H27" s="35" t="inlineStr">
        <is>
          <t>CRUDと変数プレースホルダ機能。デフォルトで「初回打診/2回目/お礼」テンプレ用意。</t>
        </is>
      </c>
    </row>
    <row r="28" ht="15" customHeight="1" s="28">
      <c r="A28" s="35" t="inlineStr">
        <is>
          <t>W5</t>
        </is>
      </c>
      <c r="B28" s="35" t="inlineStr">
        <is>
          <t>D3</t>
        </is>
      </c>
      <c r="C28" s="35" t="inlineStr">
        <is>
          <t>T-021</t>
        </is>
      </c>
      <c r="D28" s="36" t="inlineStr">
        <is>
          <t>空き枠取得API</t>
        </is>
      </c>
      <c r="E28" s="35" t="inlineStr">
        <is>
          <t>/api/availability</t>
        </is>
      </c>
      <c r="F28" s="35" t="inlineStr">
        <is>
          <t>P1完</t>
        </is>
      </c>
      <c r="G28" s="35" t="inlineStr">
        <is>
          <t>1d</t>
        </is>
      </c>
      <c r="H28" s="35" t="inlineStr">
        <is>
          <t>Calendar freebusy.query 複数 calendarId AND。営業時間フィルタ・タイムゾーン考慮。</t>
        </is>
      </c>
    </row>
    <row r="29" ht="15" customHeight="1" s="28">
      <c r="A29" s="35" t="inlineStr">
        <is>
          <t>W5</t>
        </is>
      </c>
      <c r="B29" s="35" t="inlineStr">
        <is>
          <t>D4-5</t>
        </is>
      </c>
      <c r="C29" s="35" t="inlineStr">
        <is>
          <t>T-022</t>
        </is>
      </c>
      <c r="D29" s="36" t="inlineStr">
        <is>
          <t>日程調整起動UI</t>
        </is>
      </c>
      <c r="E29" s="35" t="inlineStr">
        <is>
          <t>/meetings/new</t>
        </is>
      </c>
      <c r="F29" s="35" t="inlineStr">
        <is>
          <t>T-021</t>
        </is>
      </c>
      <c r="G29" s="35" t="inlineStr">
        <is>
          <t>2d</t>
        </is>
      </c>
      <c r="H29" s="36" t="inlineStr">
        <is>
          <t>同席者選択→空き枠プレビュー→候補選択→テンプレ選択→ドラフト編集→送信。</t>
        </is>
      </c>
    </row>
    <row r="30" ht="29.85" customHeight="1" s="28">
      <c r="A30" s="35" t="inlineStr">
        <is>
          <t>W6</t>
        </is>
      </c>
      <c r="B30" s="35" t="inlineStr">
        <is>
          <t>D1</t>
        </is>
      </c>
      <c r="C30" s="35" t="inlineStr">
        <is>
          <t>T-023</t>
        </is>
      </c>
      <c r="D30" s="35" t="inlineStr">
        <is>
          <t>Gmail Pub/Sub設定</t>
        </is>
      </c>
      <c r="E30" s="35" t="inlineStr">
        <is>
          <t>GCP Pub/Sub topic</t>
        </is>
      </c>
      <c r="F30" s="35" t="inlineStr">
        <is>
          <t>P1完</t>
        </is>
      </c>
      <c r="G30" s="35" t="inlineStr">
        <is>
          <t>1d</t>
        </is>
      </c>
      <c r="H30" s="35" t="inlineStr">
        <is>
          <t>topic作成、subscribers設定。各ユーザーOAuth後にusers.watch呼び出し。/api/webhooks/gmail でPush受信。</t>
        </is>
      </c>
    </row>
    <row r="31" ht="29.85" customHeight="1" s="28">
      <c r="A31" s="35" t="inlineStr">
        <is>
          <t>W6</t>
        </is>
      </c>
      <c r="B31" s="35" t="inlineStr">
        <is>
          <t>D2-3</t>
        </is>
      </c>
      <c r="C31" s="35" t="inlineStr">
        <is>
          <t>T-024</t>
        </is>
      </c>
      <c r="D31" s="36" t="inlineStr">
        <is>
          <t>メール返信パースWorker</t>
        </is>
      </c>
      <c r="E31" s="35" t="inlineStr">
        <is>
          <t>parse_email_reply</t>
        </is>
      </c>
      <c r="F31" s="35" t="inlineStr">
        <is>
          <t>T-023</t>
        </is>
      </c>
      <c r="G31" s="35" t="inlineStr">
        <is>
          <t>2d</t>
        </is>
      </c>
      <c r="H31" s="35" t="inlineStr">
        <is>
          <t>history.list で新着取得→thread引き当て→PROMPT-03 で意図分類→低confidence は needs_review。</t>
        </is>
      </c>
    </row>
    <row r="32" ht="15" customHeight="1" s="28">
      <c r="A32" s="35" t="inlineStr">
        <is>
          <t>W6</t>
        </is>
      </c>
      <c r="B32" s="35" t="inlineStr">
        <is>
          <t>D4</t>
        </is>
      </c>
      <c r="C32" s="35" t="inlineStr">
        <is>
          <t>T-025</t>
        </is>
      </c>
      <c r="D32" s="36" t="inlineStr">
        <is>
          <t>パース確認画面</t>
        </is>
      </c>
      <c r="E32" s="35" t="inlineStr">
        <is>
          <t>/scheduling/inbox</t>
        </is>
      </c>
      <c r="F32" s="35" t="inlineStr">
        <is>
          <t>T-024</t>
        </is>
      </c>
      <c r="G32" s="35" t="inlineStr">
        <is>
          <t>1d</t>
        </is>
      </c>
      <c r="H32" s="35" t="inlineStr">
        <is>
          <t>needs_review 一覧、手動で正解選択。確定で /api/scheduling/[id]/confirm 呼び出し。</t>
        </is>
      </c>
    </row>
    <row r="33" ht="15" customHeight="1" s="28">
      <c r="A33" s="35" t="inlineStr">
        <is>
          <t>W6</t>
        </is>
      </c>
      <c r="B33" s="35" t="inlineStr">
        <is>
          <t>D5</t>
        </is>
      </c>
      <c r="C33" s="35" t="inlineStr">
        <is>
          <t>T-026</t>
        </is>
      </c>
      <c r="D33" s="36" t="inlineStr">
        <is>
          <t>日程確定処理</t>
        </is>
      </c>
      <c r="E33" s="35" t="inlineStr">
        <is>
          <t>/api/scheduling/[id]/confirm</t>
        </is>
      </c>
      <c r="F33" s="35" t="inlineStr">
        <is>
          <t>T-024</t>
        </is>
      </c>
      <c r="G33" s="35" t="inlineStr">
        <is>
          <t>1d</t>
        </is>
      </c>
      <c r="H33" s="35" t="inlineStr">
        <is>
          <t>Calendar event作成(同席者招待)+Zoom Meeting作成+確認メール送信(テンプレ使用)。</t>
        </is>
      </c>
    </row>
    <row r="34" ht="15" customHeight="1" s="28">
      <c r="A34" s="35" t="inlineStr">
        <is>
          <t>W7</t>
        </is>
      </c>
      <c r="B34" s="35" t="inlineStr">
        <is>
          <t>D1</t>
        </is>
      </c>
      <c r="C34" s="35" t="inlineStr">
        <is>
          <t>T-027</t>
        </is>
      </c>
      <c r="D34" s="36" t="inlineStr">
        <is>
          <t>リスケフロー</t>
        </is>
      </c>
      <c r="E34" s="35" t="inlineStr">
        <is>
          <t>/meetings/[id]/reschedule</t>
        </is>
      </c>
      <c r="F34" s="35" t="inlineStr">
        <is>
          <t>T-026</t>
        </is>
      </c>
      <c r="G34" s="35" t="inlineStr">
        <is>
          <t>1d</t>
        </is>
      </c>
      <c r="H34" s="35" t="inlineStr">
        <is>
          <t>Calendar/Zoom更新+再提案メール送信。</t>
        </is>
      </c>
    </row>
    <row r="35" ht="29.85" customHeight="1" s="28">
      <c r="A35" s="35" t="inlineStr">
        <is>
          <t>W7</t>
        </is>
      </c>
      <c r="B35" s="35" t="inlineStr">
        <is>
          <t>D2-3</t>
        </is>
      </c>
      <c r="C35" s="35" t="inlineStr">
        <is>
          <t>T-028</t>
        </is>
      </c>
      <c r="D35" s="36" t="inlineStr">
        <is>
          <t>ナレッジアップロード</t>
        </is>
      </c>
      <c r="E35" s="35" t="inlineStr">
        <is>
          <t>/knowledge</t>
        </is>
      </c>
      <c r="F35" s="35" t="inlineStr">
        <is>
          <t>P1完</t>
        </is>
      </c>
      <c r="G35" s="35" t="inlineStr">
        <is>
          <t>2d</t>
        </is>
      </c>
      <c r="H35" s="35" t="inlineStr">
        <is>
          <t>PDF/PPTX/画像対応。pdf-parse, mammoth等で抽出。analyze_document Worker でPROMPT-04を実行。</t>
        </is>
      </c>
    </row>
    <row r="36" ht="15" customHeight="1" s="28">
      <c r="A36" s="35" t="inlineStr">
        <is>
          <t>W7</t>
        </is>
      </c>
      <c r="B36" s="35" t="inlineStr">
        <is>
          <t>D4</t>
        </is>
      </c>
      <c r="C36" s="35" t="inlineStr">
        <is>
          <t>T-029</t>
        </is>
      </c>
      <c r="D36" s="36" t="inlineStr">
        <is>
          <t>ナレッジレビュー</t>
        </is>
      </c>
      <c r="E36" s="35" t="inlineStr">
        <is>
          <t>/admin/knowledge</t>
        </is>
      </c>
      <c r="F36" s="35" t="inlineStr">
        <is>
          <t>T-028</t>
        </is>
      </c>
      <c r="G36" s="35" t="inlineStr">
        <is>
          <t>1d</t>
        </is>
      </c>
      <c r="H36" s="35" t="inlineStr">
        <is>
          <t>AI生成description/tagsをマネージャーが承認。承認でvisibility=org。</t>
        </is>
      </c>
    </row>
    <row r="37" ht="29.85" customHeight="1" s="28">
      <c r="A37" s="35" t="inlineStr">
        <is>
          <t>W7</t>
        </is>
      </c>
      <c r="B37" s="35" t="inlineStr">
        <is>
          <t>D5</t>
        </is>
      </c>
      <c r="C37" s="35" t="inlineStr">
        <is>
          <t>T-030</t>
        </is>
      </c>
      <c r="D37" s="36" t="inlineStr">
        <is>
          <t>引き継ぎ書生成</t>
        </is>
      </c>
      <c r="E37" s="35" t="inlineStr">
        <is>
          <t>/handoffs/new</t>
        </is>
      </c>
      <c r="F37" s="35" t="inlineStr">
        <is>
          <t>P1完</t>
        </is>
      </c>
      <c r="G37" s="35" t="inlineStr">
        <is>
          <t>1d</t>
        </is>
      </c>
      <c r="H37" s="35" t="inlineStr">
        <is>
          <t>contract_id指定→pgmq:generate_handoff_draft投入→PROMPT-09で構造化生成→編集可能フォーム。</t>
        </is>
      </c>
    </row>
    <row r="38" ht="15" customHeight="1" s="28">
      <c r="A38" s="35" t="inlineStr">
        <is>
          <t>W8</t>
        </is>
      </c>
      <c r="B38" s="35" t="inlineStr">
        <is>
          <t>D1</t>
        </is>
      </c>
      <c r="C38" s="35" t="inlineStr">
        <is>
          <t>T-031</t>
        </is>
      </c>
      <c r="D38" s="36" t="inlineStr">
        <is>
          <t>契約管理</t>
        </is>
      </c>
      <c r="E38" s="35" t="inlineStr">
        <is>
          <t>/contracts</t>
        </is>
      </c>
      <c r="F38" s="35" t="inlineStr">
        <is>
          <t>-</t>
        </is>
      </c>
      <c r="G38" s="35" t="inlineStr">
        <is>
          <t>1d</t>
        </is>
      </c>
      <c r="H38" s="35" t="inlineStr">
        <is>
          <t>CRUD+関連商談紐付け+commitments集約表示。</t>
        </is>
      </c>
    </row>
    <row r="39" ht="15" customHeight="1" s="28">
      <c r="A39" s="35" t="inlineStr">
        <is>
          <t>W8</t>
        </is>
      </c>
      <c r="B39" s="35" t="inlineStr">
        <is>
          <t>D2</t>
        </is>
      </c>
      <c r="C39" s="35" t="inlineStr">
        <is>
          <t>T-032</t>
        </is>
      </c>
      <c r="D39" s="36" t="inlineStr">
        <is>
          <t>クリップ生成</t>
        </is>
      </c>
      <c r="E39" s="35" t="inlineStr">
        <is>
          <t>/api/clips</t>
        </is>
      </c>
      <c r="F39" s="35" t="inlineStr">
        <is>
          <t>-</t>
        </is>
      </c>
      <c r="G39" s="35" t="inlineStr">
        <is>
          <t>1d</t>
        </is>
      </c>
      <c r="H39" s="35" t="inlineStr">
        <is>
          <t>recording 詳細から start/end指定→generate_clip Workerでffmpeg切り出し→R2保存。</t>
        </is>
      </c>
    </row>
    <row r="40" ht="15" customHeight="1" s="28">
      <c r="A40" s="35" t="inlineStr">
        <is>
          <t>W8</t>
        </is>
      </c>
      <c r="B40" s="35" t="inlineStr">
        <is>
          <t>D3</t>
        </is>
      </c>
      <c r="C40" s="35" t="inlineStr">
        <is>
          <t>T-033</t>
        </is>
      </c>
      <c r="D40" s="36" t="inlineStr">
        <is>
          <t>共有リンク</t>
        </is>
      </c>
      <c r="E40" s="35" t="inlineStr">
        <is>
          <t>/api/shares + /share/[token]</t>
        </is>
      </c>
      <c r="F40" s="35" t="inlineStr">
        <is>
          <t>T-032</t>
        </is>
      </c>
      <c r="G40" s="35" t="inlineStr">
        <is>
          <t>1d</t>
        </is>
      </c>
      <c r="H40" s="36" t="inlineStr">
        <is>
          <t>期限+パスワード保護。閲覧時 access_count+audit。/share画面はSSR、tokenベース認証。</t>
        </is>
      </c>
    </row>
    <row r="41" ht="15" customHeight="1" s="28">
      <c r="A41" s="35" t="inlineStr">
        <is>
          <t>W8</t>
        </is>
      </c>
      <c r="B41" s="35" t="inlineStr">
        <is>
          <t>D4</t>
        </is>
      </c>
      <c r="C41" s="35" t="inlineStr">
        <is>
          <t>T-034</t>
        </is>
      </c>
      <c r="D41" s="36" t="inlineStr">
        <is>
          <t>監査ログ画面</t>
        </is>
      </c>
      <c r="E41" s="35" t="inlineStr">
        <is>
          <t>/admin/audit</t>
        </is>
      </c>
      <c r="F41" s="35" t="inlineStr">
        <is>
          <t>P1完</t>
        </is>
      </c>
      <c r="G41" s="35" t="inlineStr">
        <is>
          <t>1d</t>
        </is>
      </c>
      <c r="H41" s="36" t="inlineStr">
        <is>
          <t>全アクションのlog実装が前提。フィルタ(user/action/date)+CSVエクスポート。</t>
        </is>
      </c>
    </row>
    <row r="42" ht="15" customHeight="1" s="28">
      <c r="A42" s="35" t="inlineStr">
        <is>
          <t>W8</t>
        </is>
      </c>
      <c r="B42" s="35" t="inlineStr">
        <is>
          <t>D5</t>
        </is>
      </c>
      <c r="C42" s="35" t="inlineStr">
        <is>
          <t>T-035</t>
        </is>
      </c>
      <c r="D42" s="35" t="inlineStr">
        <is>
          <t>Phase2 統合テスト</t>
        </is>
      </c>
      <c r="E42" s="35" t="inlineStr">
        <is>
          <t>-</t>
        </is>
      </c>
      <c r="F42" s="36" t="inlineStr">
        <is>
          <t>全部</t>
        </is>
      </c>
      <c r="G42" s="35" t="inlineStr">
        <is>
          <t>1d</t>
        </is>
      </c>
      <c r="H42" s="35" t="inlineStr">
        <is>
          <t>E2E:名刺取込→アポ自動化→返信パース→確定→Zoom→録画→引き継ぎ までの完全フロー。</t>
        </is>
      </c>
    </row>
    <row r="43" ht="21.75" customHeight="1" s="28">
      <c r="A43" s="47" t="inlineStr">
        <is>
          <t>■ Phase 3 (Week 9-12): ロープレ+ダッシュボード+音声</t>
        </is>
      </c>
    </row>
    <row r="44" ht="27.75" customHeight="1" s="28">
      <c r="A44" s="34" t="inlineStr">
        <is>
          <t>週</t>
        </is>
      </c>
      <c r="B44" s="34" t="inlineStr">
        <is>
          <t>日</t>
        </is>
      </c>
      <c r="C44" s="37" t="inlineStr">
        <is>
          <t>ID</t>
        </is>
      </c>
      <c r="D44" s="34" t="inlineStr">
        <is>
          <t>タスク</t>
        </is>
      </c>
      <c r="E44" s="34" t="inlineStr">
        <is>
          <t>成果物</t>
        </is>
      </c>
      <c r="F44" s="34" t="inlineStr">
        <is>
          <t>依存</t>
        </is>
      </c>
      <c r="G44" s="34" t="inlineStr">
        <is>
          <t>時間</t>
        </is>
      </c>
      <c r="H44" s="37" t="inlineStr">
        <is>
          <t>Claude Codeへの指示</t>
        </is>
      </c>
    </row>
    <row r="45" ht="15" customHeight="1" s="28">
      <c r="A45" s="35" t="inlineStr">
        <is>
          <t>W9</t>
        </is>
      </c>
      <c r="B45" s="35" t="inlineStr">
        <is>
          <t>D1-2</t>
        </is>
      </c>
      <c r="C45" s="35" t="inlineStr">
        <is>
          <t>T-036</t>
        </is>
      </c>
      <c r="D45" s="36" t="inlineStr">
        <is>
          <t>シナリオCRUD</t>
        </is>
      </c>
      <c r="E45" s="35" t="inlineStr">
        <is>
          <t>/roleplay (admin)</t>
        </is>
      </c>
      <c r="F45" s="35" t="inlineStr">
        <is>
          <t>P2完</t>
        </is>
      </c>
      <c r="G45" s="35" t="inlineStr">
        <is>
          <t>2d</t>
        </is>
      </c>
      <c r="H45" s="36" t="inlineStr">
        <is>
          <t>手動シナリオ作成UI。persona/rubric/opening_message編集。</t>
        </is>
      </c>
    </row>
    <row r="46" ht="15" customHeight="1" s="28">
      <c r="A46" s="35" t="inlineStr">
        <is>
          <t>W9</t>
        </is>
      </c>
      <c r="B46" s="35" t="inlineStr">
        <is>
          <t>D3</t>
        </is>
      </c>
      <c r="C46" s="35" t="inlineStr">
        <is>
          <t>T-037</t>
        </is>
      </c>
      <c r="D46" s="36" t="inlineStr">
        <is>
          <t>シナリオ自動生成</t>
        </is>
      </c>
      <c r="E46" s="35" t="inlineStr">
        <is>
          <t>generate_roleplay_scenario</t>
        </is>
      </c>
      <c r="F46" s="35" t="inlineStr">
        <is>
          <t>T-036</t>
        </is>
      </c>
      <c r="G46" s="35" t="inlineStr">
        <is>
          <t>1d</t>
        </is>
      </c>
      <c r="H46" s="36" t="inlineStr">
        <is>
          <t>過去商談ID複数選択→PROMPT-07で生成→編集してから公開。</t>
        </is>
      </c>
    </row>
    <row r="47" ht="15" customHeight="1" s="28">
      <c r="A47" s="35" t="inlineStr">
        <is>
          <t>W9</t>
        </is>
      </c>
      <c r="B47" s="35" t="inlineStr">
        <is>
          <t>D4-5</t>
        </is>
      </c>
      <c r="C47" s="35" t="inlineStr">
        <is>
          <t>T-038</t>
        </is>
      </c>
      <c r="D47" s="36" t="inlineStr">
        <is>
          <t>チャットロープレ</t>
        </is>
      </c>
      <c r="E47" s="35" t="inlineStr">
        <is>
          <t>/roleplay/[id]</t>
        </is>
      </c>
      <c r="F47" s="35" t="inlineStr">
        <is>
          <t>T-036</t>
        </is>
      </c>
      <c r="G47" s="35" t="inlineStr">
        <is>
          <t>2d</t>
        </is>
      </c>
      <c r="H47" s="35" t="inlineStr">
        <is>
          <t>streaming chat with PROMPT-05。conversationをjsonbに追記。終了でPROMPT-06実行。</t>
        </is>
      </c>
    </row>
    <row r="48" ht="15" customHeight="1" s="28">
      <c r="A48" s="35" t="inlineStr">
        <is>
          <t>W10</t>
        </is>
      </c>
      <c r="B48" s="35" t="inlineStr">
        <is>
          <t>D1</t>
        </is>
      </c>
      <c r="C48" s="35" t="inlineStr">
        <is>
          <t>T-039</t>
        </is>
      </c>
      <c r="D48" s="36" t="inlineStr">
        <is>
          <t>コーチング画面</t>
        </is>
      </c>
      <c r="E48" s="35" t="inlineStr">
        <is>
          <t>/team/roleplay</t>
        </is>
      </c>
      <c r="F48" s="35" t="inlineStr">
        <is>
          <t>T-038</t>
        </is>
      </c>
      <c r="G48" s="35" t="inlineStr">
        <is>
          <t>1d</t>
        </is>
      </c>
      <c r="H48" s="36" t="inlineStr">
        <is>
          <t>メンバーセッション一覧+コメント+優秀ロープレ社内共有。</t>
        </is>
      </c>
    </row>
    <row r="49" ht="15" customHeight="1" s="28">
      <c r="A49" s="35" t="inlineStr">
        <is>
          <t>W10</t>
        </is>
      </c>
      <c r="B49" s="35" t="inlineStr">
        <is>
          <t>D2-3</t>
        </is>
      </c>
      <c r="C49" s="35" t="inlineStr">
        <is>
          <t>T-040</t>
        </is>
      </c>
      <c r="D49" s="36" t="inlineStr">
        <is>
          <t>ナレッジチャット</t>
        </is>
      </c>
      <c r="E49" s="35" t="inlineStr">
        <is>
          <t>/knowledge (chat mode)</t>
        </is>
      </c>
      <c r="F49" s="35" t="inlineStr">
        <is>
          <t>P2完</t>
        </is>
      </c>
      <c r="G49" s="35" t="inlineStr">
        <is>
          <t>2d</t>
        </is>
      </c>
      <c r="H49" s="35" t="inlineStr">
        <is>
          <t>/api/chat: ベクトル検索→PROMPT-08でstreaming RAG。出典クリックで該当録画ジャンプ。</t>
        </is>
      </c>
    </row>
    <row r="50" ht="15" customHeight="1" s="28">
      <c r="A50" s="35" t="inlineStr">
        <is>
          <t>W10</t>
        </is>
      </c>
      <c r="B50" s="35" t="inlineStr">
        <is>
          <t>D4-5</t>
        </is>
      </c>
      <c r="C50" s="35" t="inlineStr">
        <is>
          <t>T-041</t>
        </is>
      </c>
      <c r="D50" s="36" t="inlineStr">
        <is>
          <t>マネージャーDB</t>
        </is>
      </c>
      <c r="E50" s="35" t="inlineStr">
        <is>
          <t>/dashboard/manager</t>
        </is>
      </c>
      <c r="F50" s="35" t="inlineStr">
        <is>
          <t>P2完</t>
        </is>
      </c>
      <c r="G50" s="35" t="inlineStr">
        <is>
          <t>2d</t>
        </is>
      </c>
      <c r="H50" s="36" t="inlineStr">
        <is>
          <t>パイプライン金額・ステージ別件数・各営業のロープレスコア推移・AI診断(週次バッチ)。</t>
        </is>
      </c>
    </row>
    <row r="51" ht="15" customHeight="1" s="28">
      <c r="A51" s="35" t="inlineStr">
        <is>
          <t>W11</t>
        </is>
      </c>
      <c r="B51" s="35" t="inlineStr">
        <is>
          <t>D1-2</t>
        </is>
      </c>
      <c r="C51" s="35" t="inlineStr">
        <is>
          <t>T-042</t>
        </is>
      </c>
      <c r="D51" s="36" t="inlineStr">
        <is>
          <t>音声ロープレ(STT)</t>
        </is>
      </c>
      <c r="E51" s="35" t="inlineStr">
        <is>
          <t>/api/roleplay/voice/stt</t>
        </is>
      </c>
      <c r="F51" s="35" t="inlineStr">
        <is>
          <t>T-038</t>
        </is>
      </c>
      <c r="G51" s="35" t="inlineStr">
        <is>
          <t>2d</t>
        </is>
      </c>
      <c r="H51" s="35" t="inlineStr">
        <is>
          <t>Web Speech API or Whisper。ブラウザ録音→送信→テキスト化→既存チャット投入。</t>
        </is>
      </c>
    </row>
    <row r="52" ht="15" customHeight="1" s="28">
      <c r="A52" s="35" t="inlineStr">
        <is>
          <t>W11</t>
        </is>
      </c>
      <c r="B52" s="35" t="inlineStr">
        <is>
          <t>D3-4</t>
        </is>
      </c>
      <c r="C52" s="35" t="inlineStr">
        <is>
          <t>T-043</t>
        </is>
      </c>
      <c r="D52" s="36" t="inlineStr">
        <is>
          <t>音声ロープレ(TTS)</t>
        </is>
      </c>
      <c r="E52" s="35" t="inlineStr">
        <is>
          <t>/api/roleplay/voice/tts</t>
        </is>
      </c>
      <c r="F52" s="35" t="inlineStr">
        <is>
          <t>T-042</t>
        </is>
      </c>
      <c r="G52" s="35" t="inlineStr">
        <is>
          <t>2d</t>
        </is>
      </c>
      <c r="H52" s="35" t="inlineStr">
        <is>
          <t>OpenAI TTS or ElevenLabs。AI応答をストリーミング再生。</t>
        </is>
      </c>
    </row>
    <row r="53" ht="15" customHeight="1" s="28">
      <c r="A53" s="35" t="inlineStr">
        <is>
          <t>W11</t>
        </is>
      </c>
      <c r="B53" s="35" t="inlineStr">
        <is>
          <t>D5</t>
        </is>
      </c>
      <c r="C53" s="35" t="inlineStr">
        <is>
          <t>T-044</t>
        </is>
      </c>
      <c r="D53" s="36" t="inlineStr">
        <is>
          <t>使用量管理</t>
        </is>
      </c>
      <c r="E53" s="35" t="inlineStr">
        <is>
          <t>/admin/usage</t>
        </is>
      </c>
      <c r="F53" s="35" t="inlineStr">
        <is>
          <t>P2完</t>
        </is>
      </c>
      <c r="G53" s="35" t="inlineStr">
        <is>
          <t>1d</t>
        </is>
      </c>
      <c r="H53" s="35" t="inlineStr">
        <is>
          <t>llm_usage_logs集計UI+上限設定+超過アラート。</t>
        </is>
      </c>
    </row>
    <row r="54" ht="15" customHeight="1" s="28">
      <c r="A54" s="35" t="inlineStr">
        <is>
          <t>W12</t>
        </is>
      </c>
      <c r="B54" s="35" t="inlineStr">
        <is>
          <t>D1-2</t>
        </is>
      </c>
      <c r="C54" s="35" t="inlineStr">
        <is>
          <t>T-045</t>
        </is>
      </c>
      <c r="D54" s="36" t="inlineStr">
        <is>
          <t>モバイル最適化</t>
        </is>
      </c>
      <c r="E54" s="36" t="inlineStr">
        <is>
          <t>全画面</t>
        </is>
      </c>
      <c r="F54" s="35" t="inlineStr">
        <is>
          <t>-</t>
        </is>
      </c>
      <c r="G54" s="35" t="inlineStr">
        <is>
          <t>2d</t>
        </is>
      </c>
      <c r="H54" s="35" t="inlineStr">
        <is>
          <t>PWA化・通知許可・タッチ最適化。</t>
        </is>
      </c>
    </row>
    <row r="55" ht="15" customHeight="1" s="28">
      <c r="A55" s="35" t="inlineStr">
        <is>
          <t>W12</t>
        </is>
      </c>
      <c r="B55" s="35" t="inlineStr">
        <is>
          <t>D3-4</t>
        </is>
      </c>
      <c r="C55" s="35" t="inlineStr">
        <is>
          <t>T-046</t>
        </is>
      </c>
      <c r="D55" s="36" t="inlineStr">
        <is>
          <t>パフォーマンス最適化</t>
        </is>
      </c>
      <c r="E55" s="35" t="inlineStr">
        <is>
          <t>-</t>
        </is>
      </c>
      <c r="F55" s="35" t="inlineStr">
        <is>
          <t>-</t>
        </is>
      </c>
      <c r="G55" s="35" t="inlineStr">
        <is>
          <t>2d</t>
        </is>
      </c>
      <c r="H55" s="36" t="inlineStr">
        <is>
          <t>クエリ最適化・画像最適化・bundle分析。</t>
        </is>
      </c>
    </row>
    <row r="56" ht="15" customHeight="1" s="28">
      <c r="A56" s="35" t="inlineStr">
        <is>
          <t>W12</t>
        </is>
      </c>
      <c r="B56" s="35" t="inlineStr">
        <is>
          <t>D5</t>
        </is>
      </c>
      <c r="C56" s="35" t="inlineStr">
        <is>
          <t>T-047</t>
        </is>
      </c>
      <c r="D56" s="35" t="inlineStr">
        <is>
          <t>GA(General Availability)</t>
        </is>
      </c>
      <c r="E56" s="35" t="inlineStr">
        <is>
          <t>-</t>
        </is>
      </c>
      <c r="F56" s="36" t="inlineStr">
        <is>
          <t>全部</t>
        </is>
      </c>
      <c r="G56" s="35" t="inlineStr">
        <is>
          <t>1d</t>
        </is>
      </c>
      <c r="H56" s="36" t="inlineStr">
        <is>
          <t>本番デプロイ・監視設定・ドキュメント整備。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7" min="1" max="1"/>
    <col width="32" customWidth="1" style="27" min="2" max="2"/>
    <col width="18" customWidth="1" style="27" min="3" max="3"/>
    <col width="35" customWidth="1" style="27" min="4" max="4"/>
    <col width="8" customWidth="1" style="27" min="5" max="5"/>
    <col width="6" customWidth="1" style="27" min="6" max="6"/>
  </cols>
  <sheetData>
    <row r="1" ht="24" customHeight="1" s="28">
      <c r="A1" s="29" t="inlineStr">
        <is>
          <t>環境変数・シークレット一覧</t>
        </is>
      </c>
    </row>
    <row r="3" ht="27.75" customHeight="1" s="28">
      <c r="A3" s="34" t="inlineStr">
        <is>
          <t>キー</t>
        </is>
      </c>
      <c r="B3" s="34" t="inlineStr">
        <is>
          <t>用途</t>
        </is>
      </c>
      <c r="C3" s="34" t="inlineStr">
        <is>
          <t>配置先</t>
        </is>
      </c>
      <c r="D3" s="34" t="inlineStr">
        <is>
          <t>例</t>
        </is>
      </c>
      <c r="E3" s="34" t="inlineStr">
        <is>
          <t>必須</t>
        </is>
      </c>
      <c r="F3" s="37" t="inlineStr">
        <is>
          <t>Phase</t>
        </is>
      </c>
    </row>
    <row r="4" ht="15" customHeight="1" s="28">
      <c r="A4" s="35" t="inlineStr">
        <is>
          <t>NEXT_PUBLIC_SUPABASE_URL</t>
        </is>
      </c>
      <c r="B4" s="35" t="inlineStr">
        <is>
          <t>Supabase URL</t>
        </is>
      </c>
      <c r="C4" s="35" t="inlineStr">
        <is>
          <t>web</t>
        </is>
      </c>
      <c r="D4" s="35" t="inlineStr">
        <is>
          <t>https://xxx.supabase.co</t>
        </is>
      </c>
      <c r="E4" s="36" t="inlineStr">
        <is>
          <t>必須</t>
        </is>
      </c>
      <c r="F4" s="35" t="inlineStr">
        <is>
          <t>P1</t>
        </is>
      </c>
    </row>
    <row r="5" ht="15" customHeight="1" s="28">
      <c r="A5" s="35" t="inlineStr">
        <is>
          <t>NEXT_PUBLIC_SUPABASE_ANON_KEY</t>
        </is>
      </c>
      <c r="B5" s="35" t="inlineStr">
        <is>
          <t>Supabase anon key</t>
        </is>
      </c>
      <c r="C5" s="35" t="inlineStr">
        <is>
          <t>web</t>
        </is>
      </c>
      <c r="D5" s="35" t="inlineStr">
        <is>
          <t>eyJ...</t>
        </is>
      </c>
      <c r="E5" s="36" t="inlineStr">
        <is>
          <t>必須</t>
        </is>
      </c>
      <c r="F5" s="35" t="inlineStr">
        <is>
          <t>P1</t>
        </is>
      </c>
    </row>
    <row r="6" ht="15" customHeight="1" s="28">
      <c r="A6" s="35" t="inlineStr">
        <is>
          <t>SUPABASE_SERVICE_ROLE_KEY</t>
        </is>
      </c>
      <c r="B6" s="35" t="inlineStr">
        <is>
          <t>Supabase service role(秘匿)</t>
        </is>
      </c>
      <c r="C6" s="35" t="inlineStr">
        <is>
          <t>web/worker</t>
        </is>
      </c>
      <c r="D6" s="35" t="inlineStr">
        <is>
          <t>eyJ...</t>
        </is>
      </c>
      <c r="E6" s="36" t="inlineStr">
        <is>
          <t>必須</t>
        </is>
      </c>
      <c r="F6" s="35" t="inlineStr">
        <is>
          <t>P1</t>
        </is>
      </c>
    </row>
    <row r="7" ht="15" customHeight="1" s="28">
      <c r="A7" s="35" t="inlineStr">
        <is>
          <t>DATABASE_URL</t>
        </is>
      </c>
      <c r="B7" s="35" t="inlineStr">
        <is>
          <t>Postgres接続(Drizzle migrate用)</t>
        </is>
      </c>
      <c r="C7" s="35" t="inlineStr">
        <is>
          <t>CI/local</t>
        </is>
      </c>
      <c r="D7" s="35" t="inlineStr">
        <is>
          <t>postgresql://...</t>
        </is>
      </c>
      <c r="E7" s="36" t="inlineStr">
        <is>
          <t>必須</t>
        </is>
      </c>
      <c r="F7" s="35" t="inlineStr">
        <is>
          <t>P1</t>
        </is>
      </c>
    </row>
    <row r="8" ht="15" customHeight="1" s="28">
      <c r="A8" s="35" t="inlineStr">
        <is>
          <t>GOOGLE_OAUTH_CLIENT_ID</t>
        </is>
      </c>
      <c r="B8" s="35" t="inlineStr">
        <is>
          <t>Google OAuth</t>
        </is>
      </c>
      <c r="C8" s="35" t="inlineStr">
        <is>
          <t>web</t>
        </is>
      </c>
      <c r="D8" s="35" t="inlineStr">
        <is>
          <t>...apps.googleusercontent.com</t>
        </is>
      </c>
      <c r="E8" s="36" t="inlineStr">
        <is>
          <t>必須</t>
        </is>
      </c>
      <c r="F8" s="35" t="inlineStr">
        <is>
          <t>P1</t>
        </is>
      </c>
    </row>
    <row r="9" ht="15" customHeight="1" s="28">
      <c r="A9" s="35" t="inlineStr">
        <is>
          <t>GOOGLE_OAUTH_CLIENT_SECRET</t>
        </is>
      </c>
      <c r="B9" s="36" t="inlineStr">
        <is>
          <t>同</t>
        </is>
      </c>
      <c r="C9" s="35" t="inlineStr">
        <is>
          <t>web</t>
        </is>
      </c>
      <c r="D9" s="35" t="inlineStr">
        <is>
          <t>...</t>
        </is>
      </c>
      <c r="E9" s="36" t="inlineStr">
        <is>
          <t>必須</t>
        </is>
      </c>
      <c r="F9" s="35" t="inlineStr">
        <is>
          <t>P1</t>
        </is>
      </c>
    </row>
    <row r="10" ht="15" customHeight="1" s="28">
      <c r="A10" s="35" t="inlineStr">
        <is>
          <t>GOOGLE_SERVICE_ACCOUNT_JSON</t>
        </is>
      </c>
      <c r="B10" s="35" t="inlineStr">
        <is>
          <t>Vision API + Pub/Sub</t>
        </is>
      </c>
      <c r="C10" s="35" t="inlineStr">
        <is>
          <t>worker(secret file)</t>
        </is>
      </c>
      <c r="D10" s="35" t="inlineStr">
        <is>
          <t>/etc/secrets/gcp-sa.json</t>
        </is>
      </c>
      <c r="E10" s="36" t="inlineStr">
        <is>
          <t>必須</t>
        </is>
      </c>
      <c r="F10" s="35" t="inlineStr">
        <is>
          <t>P1</t>
        </is>
      </c>
    </row>
    <row r="11" ht="15" customHeight="1" s="28">
      <c r="A11" s="35" t="inlineStr">
        <is>
          <t>GOOGLE_PUBSUB_TOPIC</t>
        </is>
      </c>
      <c r="B11" s="35" t="inlineStr">
        <is>
          <t>Gmail watch topic</t>
        </is>
      </c>
      <c r="C11" s="35" t="inlineStr">
        <is>
          <t>web</t>
        </is>
      </c>
      <c r="D11" s="35" t="inlineStr">
        <is>
          <t>projects/.../topics/gmail-events</t>
        </is>
      </c>
      <c r="E11" s="36" t="inlineStr">
        <is>
          <t>必須</t>
        </is>
      </c>
      <c r="F11" s="35" t="inlineStr">
        <is>
          <t>P2</t>
        </is>
      </c>
    </row>
    <row r="12" ht="15" customHeight="1" s="28">
      <c r="A12" s="35" t="inlineStr">
        <is>
          <t>ZOOM_ACCOUNT_ID</t>
        </is>
      </c>
      <c r="B12" s="35" t="inlineStr">
        <is>
          <t>Zoom S2S OAuth</t>
        </is>
      </c>
      <c r="C12" s="35" t="inlineStr">
        <is>
          <t>worker</t>
        </is>
      </c>
      <c r="D12" s="35" t="inlineStr">
        <is>
          <t>...</t>
        </is>
      </c>
      <c r="E12" s="36" t="inlineStr">
        <is>
          <t>必須</t>
        </is>
      </c>
      <c r="F12" s="35" t="inlineStr">
        <is>
          <t>P1</t>
        </is>
      </c>
    </row>
    <row r="13" ht="15" customHeight="1" s="28">
      <c r="A13" s="35" t="inlineStr">
        <is>
          <t>ZOOM_CLIENT_ID</t>
        </is>
      </c>
      <c r="B13" s="36" t="inlineStr">
        <is>
          <t>同</t>
        </is>
      </c>
      <c r="C13" s="35" t="inlineStr">
        <is>
          <t>worker</t>
        </is>
      </c>
      <c r="D13" s="35" t="inlineStr">
        <is>
          <t>...</t>
        </is>
      </c>
      <c r="E13" s="36" t="inlineStr">
        <is>
          <t>必須</t>
        </is>
      </c>
      <c r="F13" s="35" t="inlineStr">
        <is>
          <t>P1</t>
        </is>
      </c>
    </row>
    <row r="14" ht="15" customHeight="1" s="28">
      <c r="A14" s="35" t="inlineStr">
        <is>
          <t>ZOOM_CLIENT_SECRET</t>
        </is>
      </c>
      <c r="B14" s="36" t="inlineStr">
        <is>
          <t>同</t>
        </is>
      </c>
      <c r="C14" s="35" t="inlineStr">
        <is>
          <t>worker</t>
        </is>
      </c>
      <c r="D14" s="35" t="inlineStr">
        <is>
          <t>...</t>
        </is>
      </c>
      <c r="E14" s="36" t="inlineStr">
        <is>
          <t>必須</t>
        </is>
      </c>
      <c r="F14" s="35" t="inlineStr">
        <is>
          <t>P1</t>
        </is>
      </c>
    </row>
    <row r="15" ht="15" customHeight="1" s="28">
      <c r="A15" s="35" t="inlineStr">
        <is>
          <t>ZOOM_WEBHOOK_SECRET_TOKEN</t>
        </is>
      </c>
      <c r="B15" s="35" t="inlineStr">
        <is>
          <t>Webhook署名検証</t>
        </is>
      </c>
      <c r="C15" s="35" t="inlineStr">
        <is>
          <t>web</t>
        </is>
      </c>
      <c r="D15" s="35" t="inlineStr">
        <is>
          <t>...</t>
        </is>
      </c>
      <c r="E15" s="36" t="inlineStr">
        <is>
          <t>必須</t>
        </is>
      </c>
      <c r="F15" s="35" t="inlineStr">
        <is>
          <t>P1</t>
        </is>
      </c>
    </row>
    <row r="16" ht="15" customHeight="1" s="28">
      <c r="A16" s="35" t="inlineStr">
        <is>
          <t>ANTHROPIC_API_KEY</t>
        </is>
      </c>
      <c r="B16" s="35" t="inlineStr">
        <is>
          <t>Claude</t>
        </is>
      </c>
      <c r="C16" s="35" t="inlineStr">
        <is>
          <t>worker/web</t>
        </is>
      </c>
      <c r="D16" s="35" t="inlineStr">
        <is>
          <t>sk-ant-...</t>
        </is>
      </c>
      <c r="E16" s="36" t="inlineStr">
        <is>
          <t>必須</t>
        </is>
      </c>
      <c r="F16" s="35" t="inlineStr">
        <is>
          <t>P1</t>
        </is>
      </c>
    </row>
    <row r="17" ht="15" customHeight="1" s="28">
      <c r="A17" s="35" t="inlineStr">
        <is>
          <t>OPENAI_API_KEY</t>
        </is>
      </c>
      <c r="B17" s="35" t="inlineStr">
        <is>
          <t>Embeddings + Whisper + TTS</t>
        </is>
      </c>
      <c r="C17" s="35" t="inlineStr">
        <is>
          <t>worker</t>
        </is>
      </c>
      <c r="D17" s="35" t="inlineStr">
        <is>
          <t>sk-...</t>
        </is>
      </c>
      <c r="E17" s="36" t="inlineStr">
        <is>
          <t>必須</t>
        </is>
      </c>
      <c r="F17" s="35" t="inlineStr">
        <is>
          <t>P1</t>
        </is>
      </c>
    </row>
    <row r="18" ht="15" customHeight="1" s="28">
      <c r="A18" s="35" t="inlineStr">
        <is>
          <t>R2_ACCOUNT_ID</t>
        </is>
      </c>
      <c r="B18" s="35" t="inlineStr">
        <is>
          <t>Cloudflare R2</t>
        </is>
      </c>
      <c r="C18" s="35" t="inlineStr">
        <is>
          <t>worker</t>
        </is>
      </c>
      <c r="D18" s="35" t="inlineStr">
        <is>
          <t>...</t>
        </is>
      </c>
      <c r="E18" s="36" t="inlineStr">
        <is>
          <t>必須</t>
        </is>
      </c>
      <c r="F18" s="35" t="inlineStr">
        <is>
          <t>P1</t>
        </is>
      </c>
    </row>
    <row r="19" ht="15" customHeight="1" s="28">
      <c r="A19" s="35" t="inlineStr">
        <is>
          <t>R2_ACCESS_KEY_ID</t>
        </is>
      </c>
      <c r="B19" s="36" t="inlineStr">
        <is>
          <t>同</t>
        </is>
      </c>
      <c r="C19" s="35" t="inlineStr">
        <is>
          <t>worker</t>
        </is>
      </c>
      <c r="D19" s="35" t="inlineStr">
        <is>
          <t>...</t>
        </is>
      </c>
      <c r="E19" s="36" t="inlineStr">
        <is>
          <t>必須</t>
        </is>
      </c>
      <c r="F19" s="35" t="inlineStr">
        <is>
          <t>P1</t>
        </is>
      </c>
    </row>
    <row r="20" ht="15" customHeight="1" s="28">
      <c r="A20" s="35" t="inlineStr">
        <is>
          <t>R2_SECRET_ACCESS_KEY</t>
        </is>
      </c>
      <c r="B20" s="36" t="inlineStr">
        <is>
          <t>同</t>
        </is>
      </c>
      <c r="C20" s="35" t="inlineStr">
        <is>
          <t>worker</t>
        </is>
      </c>
      <c r="D20" s="35" t="inlineStr">
        <is>
          <t>...</t>
        </is>
      </c>
      <c r="E20" s="36" t="inlineStr">
        <is>
          <t>必須</t>
        </is>
      </c>
      <c r="F20" s="35" t="inlineStr">
        <is>
          <t>P1</t>
        </is>
      </c>
    </row>
    <row r="21" ht="15" customHeight="1" s="28">
      <c r="A21" s="35" t="inlineStr">
        <is>
          <t>R2_BUCKET_RECORDINGS</t>
        </is>
      </c>
      <c r="B21" s="36" t="inlineStr">
        <is>
          <t>同</t>
        </is>
      </c>
      <c r="C21" s="35" t="inlineStr">
        <is>
          <t>worker</t>
        </is>
      </c>
      <c r="D21" s="35" t="inlineStr">
        <is>
          <t>private-recordings</t>
        </is>
      </c>
      <c r="E21" s="36" t="inlineStr">
        <is>
          <t>必須</t>
        </is>
      </c>
      <c r="F21" s="35" t="inlineStr">
        <is>
          <t>P1</t>
        </is>
      </c>
    </row>
    <row r="22" ht="15" customHeight="1" s="28">
      <c r="A22" s="35" t="inlineStr">
        <is>
          <t>R2_PUBLIC_DOMAIN</t>
        </is>
      </c>
      <c r="B22" s="36" t="inlineStr">
        <is>
          <t>署名URL用ドメイン</t>
        </is>
      </c>
      <c r="C22" s="35" t="inlineStr">
        <is>
          <t>worker</t>
        </is>
      </c>
      <c r="D22" s="35" t="inlineStr">
        <is>
          <t>recordings.xxx.com</t>
        </is>
      </c>
      <c r="E22" s="36" t="inlineStr">
        <is>
          <t>任意</t>
        </is>
      </c>
      <c r="F22" s="35" t="inlineStr">
        <is>
          <t>P1</t>
        </is>
      </c>
    </row>
    <row r="23" ht="15" customHeight="1" s="28">
      <c r="A23" s="35" t="inlineStr">
        <is>
          <t>RESEND_API_KEY</t>
        </is>
      </c>
      <c r="B23" s="36" t="inlineStr">
        <is>
          <t>システム通知メール</t>
        </is>
      </c>
      <c r="C23" s="35" t="inlineStr">
        <is>
          <t>web</t>
        </is>
      </c>
      <c r="D23" s="35" t="inlineStr">
        <is>
          <t>re_...</t>
        </is>
      </c>
      <c r="E23" s="36" t="inlineStr">
        <is>
          <t>必須</t>
        </is>
      </c>
      <c r="F23" s="35" t="inlineStr">
        <is>
          <t>P1</t>
        </is>
      </c>
    </row>
    <row r="24" ht="15" customHeight="1" s="28">
      <c r="A24" s="35" t="inlineStr">
        <is>
          <t>APP_URL</t>
        </is>
      </c>
      <c r="B24" s="36" t="inlineStr">
        <is>
          <t>自身のURL</t>
        </is>
      </c>
      <c r="C24" s="35" t="inlineStr">
        <is>
          <t>web/worker</t>
        </is>
      </c>
      <c r="D24" s="35" t="inlineStr">
        <is>
          <t>https://app.xxx.com</t>
        </is>
      </c>
      <c r="E24" s="36" t="inlineStr">
        <is>
          <t>必須</t>
        </is>
      </c>
      <c r="F24" s="35" t="inlineStr">
        <is>
          <t>P1</t>
        </is>
      </c>
    </row>
    <row r="25" ht="15" customHeight="1" s="28">
      <c r="A25" s="35" t="inlineStr">
        <is>
          <t>NEXTAUTH_URL</t>
        </is>
      </c>
      <c r="B25" s="35" t="inlineStr">
        <is>
          <t>auth用</t>
        </is>
      </c>
      <c r="C25" s="35" t="inlineStr">
        <is>
          <t>web</t>
        </is>
      </c>
      <c r="D25" s="36" t="inlineStr">
        <is>
          <t>同上</t>
        </is>
      </c>
      <c r="E25" s="36" t="inlineStr">
        <is>
          <t>必須</t>
        </is>
      </c>
      <c r="F25" s="35" t="inlineStr">
        <is>
          <t>P1</t>
        </is>
      </c>
    </row>
    <row r="26" ht="15" customHeight="1" s="28">
      <c r="A26" s="35" t="inlineStr">
        <is>
          <t>NEXTAUTH_SECRET</t>
        </is>
      </c>
      <c r="B26" s="35" t="inlineStr">
        <is>
          <t>session暗号化</t>
        </is>
      </c>
      <c r="C26" s="35" t="inlineStr">
        <is>
          <t>web</t>
        </is>
      </c>
      <c r="D26" s="35" t="inlineStr">
        <is>
          <t>random32bytes</t>
        </is>
      </c>
      <c r="E26" s="36" t="inlineStr">
        <is>
          <t>必須</t>
        </is>
      </c>
      <c r="F26" s="35" t="inlineStr">
        <is>
          <t>P1</t>
        </is>
      </c>
    </row>
    <row r="27" ht="15" customHeight="1" s="28">
      <c r="A27" s="35" t="inlineStr">
        <is>
          <t>SENTRY_DSN</t>
        </is>
      </c>
      <c r="B27" s="36" t="inlineStr">
        <is>
          <t>エラー監視</t>
        </is>
      </c>
      <c r="C27" s="35" t="inlineStr">
        <is>
          <t>web/worker</t>
        </is>
      </c>
      <c r="D27" s="35" t="inlineStr">
        <is>
          <t>...</t>
        </is>
      </c>
      <c r="E27" s="36" t="inlineStr">
        <is>
          <t>推奨</t>
        </is>
      </c>
      <c r="F27" s="35" t="inlineStr">
        <is>
          <t>P1</t>
        </is>
      </c>
    </row>
    <row r="28" ht="15" customHeight="1" s="28">
      <c r="A28" s="35" t="inlineStr">
        <is>
          <t>SLACK_ALERT_WEBHOOK_URL</t>
        </is>
      </c>
      <c r="B28" s="36" t="inlineStr">
        <is>
          <t>管理者アラート</t>
        </is>
      </c>
      <c r="C28" s="35" t="inlineStr">
        <is>
          <t>worker</t>
        </is>
      </c>
      <c r="D28" s="35" t="inlineStr">
        <is>
          <t>...</t>
        </is>
      </c>
      <c r="E28" s="36" t="inlineStr">
        <is>
          <t>推奨</t>
        </is>
      </c>
      <c r="F28" s="35" t="inlineStr">
        <is>
          <t>P1</t>
        </is>
      </c>
    </row>
    <row r="29" ht="15" customHeight="1" s="28">
      <c r="A29" s="35" t="inlineStr">
        <is>
          <t>PGMQ_VISIBILITY_TIMEOUT_DEFAULT</t>
        </is>
      </c>
      <c r="B29" s="36" t="inlineStr">
        <is>
          <t>デフォルトvt秒</t>
        </is>
      </c>
      <c r="C29" s="35" t="inlineStr">
        <is>
          <t>worker</t>
        </is>
      </c>
      <c r="D29" s="35" t="inlineStr">
        <is>
          <t>300</t>
        </is>
      </c>
      <c r="E29" s="36" t="inlineStr">
        <is>
          <t>任意</t>
        </is>
      </c>
      <c r="F29" s="35" t="inlineStr">
        <is>
          <t>P1</t>
        </is>
      </c>
    </row>
    <row r="30" ht="15" customHeight="1" s="28">
      <c r="A30" s="35" t="inlineStr">
        <is>
          <t>NODE_ENV</t>
        </is>
      </c>
      <c r="B30" s="36" t="n"/>
      <c r="C30" s="35" t="inlineStr">
        <is>
          <t>all</t>
        </is>
      </c>
      <c r="D30" s="35" t="inlineStr">
        <is>
          <t>production</t>
        </is>
      </c>
      <c r="E30" s="36" t="inlineStr">
        <is>
          <t>必須</t>
        </is>
      </c>
      <c r="F30" s="35" t="inlineStr">
        <is>
          <t>P1</t>
        </is>
      </c>
    </row>
    <row r="32">
      <c r="A32" s="41" t="inlineStr">
        <is>
          <t>■ 追加環境変数(v2)</t>
        </is>
      </c>
      <c r="B32" s="41" t="n"/>
      <c r="C32" s="41" t="n"/>
      <c r="D32" s="41" t="n"/>
      <c r="E32" s="41" t="n"/>
      <c r="F32" s="41" t="n"/>
    </row>
    <row r="33">
      <c r="A33" s="41" t="inlineStr">
        <is>
          <t>変数名</t>
        </is>
      </c>
      <c r="B33" s="41" t="inlineStr">
        <is>
          <t>用途</t>
        </is>
      </c>
      <c r="C33" s="41" t="inlineStr">
        <is>
          <t>必須</t>
        </is>
      </c>
      <c r="D33" s="41" t="inlineStr">
        <is>
          <t>P</t>
        </is>
      </c>
      <c r="E33" s="41" t="inlineStr">
        <is>
          <t>ローテ</t>
        </is>
      </c>
      <c r="F33" s="41" t="inlineStr">
        <is>
          <t>備考</t>
        </is>
      </c>
    </row>
    <row r="34">
      <c r="A34" s="41" t="inlineStr">
        <is>
          <t>VAPID_PUBLIC_KEY / VAPID_PRIVATE_KEY</t>
        </is>
      </c>
      <c r="B34" s="41" t="inlineStr">
        <is>
          <t>Web Push署名</t>
        </is>
      </c>
      <c r="C34" s="41" t="inlineStr">
        <is>
          <t>必須</t>
        </is>
      </c>
      <c r="D34" s="41" t="inlineStr">
        <is>
          <t>P2</t>
        </is>
      </c>
      <c r="E34" s="41" t="inlineStr">
        <is>
          <t>年次</t>
        </is>
      </c>
      <c r="F34" s="41" t="inlineStr">
        <is>
          <t>Service Worker</t>
        </is>
      </c>
    </row>
    <row r="35">
      <c r="A35" s="41" t="inlineStr">
        <is>
          <t>GOOGLE_RESOURCE_DOMAIN</t>
        </is>
      </c>
      <c r="B35" s="41" t="inlineStr">
        <is>
          <t>会議室Workspaceドメイン</t>
        </is>
      </c>
      <c r="C35" s="41" t="inlineStr">
        <is>
          <t>任意</t>
        </is>
      </c>
      <c r="D35" s="41" t="inlineStr">
        <is>
          <t>P2</t>
        </is>
      </c>
      <c r="E35" s="41" t="inlineStr">
        <is>
          <t>-</t>
        </is>
      </c>
      <c r="F35" s="41" t="inlineStr">
        <is>
          <t>admin.directory.resource</t>
        </is>
      </c>
    </row>
    <row r="36">
      <c r="A36" s="41" t="inlineStr">
        <is>
          <t>PII_REDACTOR_MODEL</t>
        </is>
      </c>
      <c r="B36" s="41" t="inlineStr">
        <is>
          <t>PII検出モデル名</t>
        </is>
      </c>
      <c r="C36" s="41" t="inlineStr">
        <is>
          <t>必須</t>
        </is>
      </c>
      <c r="D36" s="41" t="inlineStr">
        <is>
          <t>P2</t>
        </is>
      </c>
      <c r="E36" s="41" t="inlineStr">
        <is>
          <t>-</t>
        </is>
      </c>
      <c r="F36" s="41" t="inlineStr">
        <is>
          <t>claude-haiku</t>
        </is>
      </c>
    </row>
    <row r="37">
      <c r="A37" s="41" t="inlineStr">
        <is>
          <t>SUPABASE_REGION</t>
        </is>
      </c>
      <c r="B37" s="41" t="inlineStr">
        <is>
          <t>データ保管地域</t>
        </is>
      </c>
      <c r="C37" s="41" t="inlineStr">
        <is>
          <t>必須</t>
        </is>
      </c>
      <c r="D37" s="41" t="inlineStr">
        <is>
          <t>P1</t>
        </is>
      </c>
      <c r="E37" s="41" t="inlineStr">
        <is>
          <t>-</t>
        </is>
      </c>
      <c r="F37" s="41" t="inlineStr">
        <is>
          <t>ap-northeast-1</t>
        </is>
      </c>
    </row>
    <row r="38">
      <c r="A38" s="41" t="inlineStr">
        <is>
          <t>R2_BUCKET_REGION</t>
        </is>
      </c>
      <c r="B38" s="41" t="inlineStr">
        <is>
          <t>R2リージョン</t>
        </is>
      </c>
      <c r="C38" s="41" t="inlineStr">
        <is>
          <t>必須</t>
        </is>
      </c>
      <c r="D38" s="41" t="inlineStr">
        <is>
          <t>P1</t>
        </is>
      </c>
      <c r="E38" s="41" t="inlineStr">
        <is>
          <t>-</t>
        </is>
      </c>
      <c r="F38" s="41" t="inlineStr">
        <is>
          <t>tokyo</t>
        </is>
      </c>
    </row>
    <row r="39">
      <c r="A39" s="41" t="inlineStr">
        <is>
          <t>PITR_WINDOW_DAYS</t>
        </is>
      </c>
      <c r="B39" s="41" t="inlineStr">
        <is>
          <t>PITR保持日数</t>
        </is>
      </c>
      <c r="C39" s="41" t="inlineStr">
        <is>
          <t>必須</t>
        </is>
      </c>
      <c r="D39" s="41" t="inlineStr">
        <is>
          <t>P2</t>
        </is>
      </c>
      <c r="E39" s="41" t="inlineStr">
        <is>
          <t>-</t>
        </is>
      </c>
      <c r="F39" s="41" t="inlineStr">
        <is>
          <t>7</t>
        </is>
      </c>
    </row>
    <row r="40">
      <c r="A40" s="41" t="inlineStr">
        <is>
          <t>SOFT_DELETE_GRACE_DAYS</t>
        </is>
      </c>
      <c r="B40" s="41" t="inlineStr">
        <is>
          <t>Soft delete猶予</t>
        </is>
      </c>
      <c r="C40" s="41" t="inlineStr">
        <is>
          <t>必須</t>
        </is>
      </c>
      <c r="D40" s="41" t="inlineStr">
        <is>
          <t>P2</t>
        </is>
      </c>
      <c r="E40" s="41" t="inlineStr">
        <is>
          <t>-</t>
        </is>
      </c>
      <c r="F40" s="41" t="inlineStr">
        <is>
          <t>30</t>
        </is>
      </c>
    </row>
    <row r="41">
      <c r="A41" s="41" t="inlineStr">
        <is>
          <t>EMAIL_UNDO_WINDOW_SECONDS</t>
        </is>
      </c>
      <c r="B41" s="41" t="inlineStr">
        <is>
          <t>メール送信undo秒</t>
        </is>
      </c>
      <c r="C41" s="41" t="inlineStr">
        <is>
          <t>必須</t>
        </is>
      </c>
      <c r="D41" s="41" t="inlineStr">
        <is>
          <t>P2</t>
        </is>
      </c>
      <c r="E41" s="41" t="inlineStr">
        <is>
          <t>-</t>
        </is>
      </c>
      <c r="F41" s="41" t="inlineStr">
        <is>
          <t>30</t>
        </is>
      </c>
    </row>
    <row r="42">
      <c r="A42" s="41" t="inlineStr">
        <is>
          <t>INTERNAL_INVITE_TIMEOUT_HOURS</t>
        </is>
      </c>
      <c r="B42" s="41" t="inlineStr">
        <is>
          <t>社内同席timeout</t>
        </is>
      </c>
      <c r="C42" s="41" t="inlineStr">
        <is>
          <t>必須</t>
        </is>
      </c>
      <c r="D42" s="41" t="inlineStr">
        <is>
          <t>P2</t>
        </is>
      </c>
      <c r="E42" s="41" t="inlineStr">
        <is>
          <t>-</t>
        </is>
      </c>
      <c r="F42" s="41" t="inlineStr">
        <is>
          <t>2</t>
        </is>
      </c>
    </row>
    <row r="43">
      <c r="A43" s="41" t="inlineStr">
        <is>
          <t>CALENDAR_HOLD_TTL_HOURS</t>
        </is>
      </c>
      <c r="B43" s="41" t="inlineStr">
        <is>
          <t>仮押さえTTL</t>
        </is>
      </c>
      <c r="C43" s="41" t="inlineStr">
        <is>
          <t>必須</t>
        </is>
      </c>
      <c r="D43" s="41" t="inlineStr">
        <is>
          <t>P2</t>
        </is>
      </c>
      <c r="E43" s="41" t="inlineStr">
        <is>
          <t>-</t>
        </is>
      </c>
      <c r="F43" s="41" t="inlineStr">
        <is>
          <t>48</t>
        </is>
      </c>
    </row>
    <row r="44">
      <c r="A44" s="41" t="inlineStr">
        <is>
          <t>CONSENT_CHECK_GRACE_MIN</t>
        </is>
      </c>
      <c r="B44" s="41" t="inlineStr">
        <is>
          <t>録画同意確認</t>
        </is>
      </c>
      <c r="C44" s="41" t="inlineStr">
        <is>
          <t>必須</t>
        </is>
      </c>
      <c r="D44" s="41" t="inlineStr">
        <is>
          <t>P2</t>
        </is>
      </c>
      <c r="E44" s="41" t="inlineStr">
        <is>
          <t>-</t>
        </is>
      </c>
      <c r="F44" s="41" t="inlineStr">
        <is>
          <t>5</t>
        </is>
      </c>
    </row>
    <row r="45">
      <c r="A45" s="41" t="inlineStr">
        <is>
          <t>DELETION_REQUEST_SLA_DAYS</t>
        </is>
      </c>
      <c r="B45" s="41" t="inlineStr">
        <is>
          <t>削除依頼対応</t>
        </is>
      </c>
      <c r="C45" s="41" t="inlineStr">
        <is>
          <t>必須</t>
        </is>
      </c>
      <c r="D45" s="41" t="inlineStr">
        <is>
          <t>P2</t>
        </is>
      </c>
      <c r="E45" s="41" t="inlineStr">
        <is>
          <t>-</t>
        </is>
      </c>
      <c r="F45" s="41" t="inlineStr">
        <is>
          <t>30</t>
        </is>
      </c>
    </row>
    <row r="46">
      <c r="A46" s="41" t="inlineStr">
        <is>
          <t>AB_HASH_SECRET</t>
        </is>
      </c>
      <c r="B46" s="41" t="inlineStr">
        <is>
          <t>AB割当ハッシュ</t>
        </is>
      </c>
      <c r="C46" s="41" t="inlineStr">
        <is>
          <t>必須</t>
        </is>
      </c>
      <c r="D46" s="41" t="inlineStr">
        <is>
          <t>P3</t>
        </is>
      </c>
      <c r="E46" s="41" t="inlineStr">
        <is>
          <t>年次</t>
        </is>
      </c>
      <c r="F46" s="41" t="inlineStr">
        <is>
          <t>stable assignment</t>
        </is>
      </c>
    </row>
    <row r="47">
      <c r="A47" s="41" t="inlineStr">
        <is>
          <t>FEATURE_FLAGS_DEFAULT_ENABLED</t>
        </is>
      </c>
      <c r="B47" s="41" t="inlineStr">
        <is>
          <t>FF既定値</t>
        </is>
      </c>
      <c r="C47" s="41" t="inlineStr">
        <is>
          <t>任意</t>
        </is>
      </c>
      <c r="D47" s="41" t="inlineStr">
        <is>
          <t>P2</t>
        </is>
      </c>
      <c r="E47" s="41" t="inlineStr">
        <is>
          <t>-</t>
        </is>
      </c>
      <c r="F47" s="41" t="inlineStr">
        <is>
          <t>false</t>
        </is>
      </c>
    </row>
    <row r="48">
      <c r="A48" s="41" t="inlineStr">
        <is>
          <t>MAX_OFFLINE_QUEUE_ITEMS</t>
        </is>
      </c>
      <c r="B48" s="41" t="inlineStr">
        <is>
          <t>オフライン上限</t>
        </is>
      </c>
      <c r="C48" s="41" t="inlineStr">
        <is>
          <t>必須</t>
        </is>
      </c>
      <c r="D48" s="41" t="inlineStr">
        <is>
          <t>P1</t>
        </is>
      </c>
      <c r="E48" s="41" t="inlineStr">
        <is>
          <t>-</t>
        </is>
      </c>
      <c r="F48" s="41" t="inlineStr">
        <is>
          <t>100</t>
        </is>
      </c>
    </row>
    <row r="49">
      <c r="A49" s="41" t="inlineStr">
        <is>
          <t>MAX_VOICE_MEMO_SECONDS</t>
        </is>
      </c>
      <c r="B49" s="41" t="inlineStr">
        <is>
          <t>音声メモ最大</t>
        </is>
      </c>
      <c r="C49" s="41" t="inlineStr">
        <is>
          <t>必須</t>
        </is>
      </c>
      <c r="D49" s="41" t="inlineStr">
        <is>
          <t>P2</t>
        </is>
      </c>
      <c r="E49" s="41" t="inlineStr">
        <is>
          <t>-</t>
        </is>
      </c>
      <c r="F49" s="41" t="inlineStr">
        <is>
          <t>60</t>
        </is>
      </c>
    </row>
    <row r="50">
      <c r="A50" s="41" t="inlineStr">
        <is>
          <t>RANKING_WEIGHTS</t>
        </is>
      </c>
      <c r="B50" s="41" t="inlineStr">
        <is>
          <t>検索ランキング重み</t>
        </is>
      </c>
      <c r="C50" s="41" t="inlineStr">
        <is>
          <t>必須</t>
        </is>
      </c>
      <c r="D50" s="41" t="inlineStr">
        <is>
          <t>P1</t>
        </is>
      </c>
      <c r="E50" s="41" t="inlineStr">
        <is>
          <t>-</t>
        </is>
      </c>
      <c r="F50" s="41" t="inlineStr">
        <is>
          <t>0.4/0.4/0.2</t>
        </is>
      </c>
    </row>
    <row r="51">
      <c r="A51" s="41" t="inlineStr">
        <is>
          <t>I18N_DEFAULT_LOCALE</t>
        </is>
      </c>
      <c r="B51" s="41" t="inlineStr">
        <is>
          <t>既定ロケール</t>
        </is>
      </c>
      <c r="C51" s="41" t="inlineStr">
        <is>
          <t>必須</t>
        </is>
      </c>
      <c r="D51" s="41" t="inlineStr">
        <is>
          <t>P3</t>
        </is>
      </c>
      <c r="E51" s="41" t="inlineStr">
        <is>
          <t>-</t>
        </is>
      </c>
      <c r="F51" s="41" t="inlineStr">
        <is>
          <t>ja</t>
        </is>
      </c>
    </row>
    <row r="52">
      <c r="A52" s="41" t="inlineStr">
        <is>
          <t>I18N_FALLBACK_LOCALE</t>
        </is>
      </c>
      <c r="B52" s="41" t="inlineStr">
        <is>
          <t>フォールバック</t>
        </is>
      </c>
      <c r="C52" s="41" t="inlineStr">
        <is>
          <t>必須</t>
        </is>
      </c>
      <c r="D52" s="41" t="inlineStr">
        <is>
          <t>P3</t>
        </is>
      </c>
      <c r="E52" s="41" t="inlineStr">
        <is>
          <t>-</t>
        </is>
      </c>
      <c r="F52" s="41" t="inlineStr">
        <is>
          <t>en</t>
        </is>
      </c>
    </row>
    <row r="53">
      <c r="A53" s="41" t="inlineStr">
        <is>
          <t>TZDATA_VERSION</t>
        </is>
      </c>
      <c r="B53" s="41" t="inlineStr">
        <is>
          <t>IANA TZ DB</t>
        </is>
      </c>
      <c r="C53" s="41" t="inlineStr">
        <is>
          <t>必須</t>
        </is>
      </c>
      <c r="D53" s="41" t="inlineStr">
        <is>
          <t>P2</t>
        </is>
      </c>
      <c r="E53" s="41" t="inlineStr">
        <is>
          <t>-</t>
        </is>
      </c>
      <c r="F53" s="41" t="inlineStr">
        <is>
          <t>tzdata 2026a+</t>
        </is>
      </c>
    </row>
    <row r="54">
      <c r="A54" s="41" t="inlineStr">
        <is>
          <t>MFA_REQUIRED_FOR_ROLES</t>
        </is>
      </c>
      <c r="B54" s="41" t="inlineStr">
        <is>
          <t>MFA必須ロール</t>
        </is>
      </c>
      <c r="C54" s="41" t="inlineStr">
        <is>
          <t>必須</t>
        </is>
      </c>
      <c r="D54" s="41" t="inlineStr">
        <is>
          <t>P2</t>
        </is>
      </c>
      <c r="E54" s="41" t="inlineStr">
        <is>
          <t>-</t>
        </is>
      </c>
      <c r="F54" s="41" t="inlineStr">
        <is>
          <t>admin,manager</t>
        </is>
      </c>
    </row>
    <row r="55">
      <c r="A55" s="41" t="inlineStr">
        <is>
          <t>RATE_LIMIT_USER_RPM</t>
        </is>
      </c>
      <c r="B55" s="41" t="inlineStr">
        <is>
          <t>ユーザレート</t>
        </is>
      </c>
      <c r="C55" s="41" t="inlineStr">
        <is>
          <t>必須</t>
        </is>
      </c>
      <c r="D55" s="41" t="inlineStr">
        <is>
          <t>P1</t>
        </is>
      </c>
      <c r="E55" s="41" t="inlineStr">
        <is>
          <t>-</t>
        </is>
      </c>
      <c r="F55" s="41" t="inlineStr">
        <is>
          <t>60</t>
        </is>
      </c>
    </row>
    <row r="56">
      <c r="A56" s="41" t="inlineStr">
        <is>
          <t>RATE_LIMIT_ADMIN_RPM</t>
        </is>
      </c>
      <c r="B56" s="41" t="inlineStr">
        <is>
          <t>admin系レート</t>
        </is>
      </c>
      <c r="C56" s="41" t="inlineStr">
        <is>
          <t>必須</t>
        </is>
      </c>
      <c r="D56" s="41" t="inlineStr">
        <is>
          <t>P1</t>
        </is>
      </c>
      <c r="E56" s="41" t="inlineStr">
        <is>
          <t>-</t>
        </is>
      </c>
      <c r="F56" s="41" t="inlineStr">
        <is>
          <t>10</t>
        </is>
      </c>
    </row>
    <row r="57">
      <c r="A57" s="41" t="inlineStr">
        <is>
          <t>WEBHOOK_SECRET_ZOOM</t>
        </is>
      </c>
      <c r="B57" s="41" t="inlineStr">
        <is>
          <t>Zoom署名検証</t>
        </is>
      </c>
      <c r="C57" s="41" t="inlineStr">
        <is>
          <t>必須</t>
        </is>
      </c>
      <c r="D57" s="41" t="inlineStr">
        <is>
          <t>P1</t>
        </is>
      </c>
      <c r="E57" s="41" t="inlineStr">
        <is>
          <t>90日</t>
        </is>
      </c>
      <c r="F57" s="41" t="inlineStr">
        <is>
          <t>-</t>
        </is>
      </c>
    </row>
    <row r="58">
      <c r="A58" s="41" t="inlineStr">
        <is>
          <t>WEBHOOK_SECRET_GMAIL</t>
        </is>
      </c>
      <c r="B58" s="41" t="inlineStr">
        <is>
          <t>Gmail署名</t>
        </is>
      </c>
      <c r="C58" s="41" t="inlineStr">
        <is>
          <t>必須</t>
        </is>
      </c>
      <c r="D58" s="41" t="inlineStr">
        <is>
          <t>P1</t>
        </is>
      </c>
      <c r="E58" s="41" t="inlineStr">
        <is>
          <t>90日</t>
        </is>
      </c>
      <c r="F58" s="41" t="inlineStr">
        <is>
          <t>-</t>
        </is>
      </c>
    </row>
    <row r="59">
      <c r="A59" s="41" t="inlineStr">
        <is>
          <t>WEB_VITALS_ENDPOINT</t>
        </is>
      </c>
      <c r="B59" s="41" t="inlineStr">
        <is>
          <t>Vitals送信先</t>
        </is>
      </c>
      <c r="C59" s="41" t="inlineStr">
        <is>
          <t>任意</t>
        </is>
      </c>
      <c r="D59" s="41" t="inlineStr">
        <is>
          <t>P2</t>
        </is>
      </c>
      <c r="E59" s="41" t="inlineStr">
        <is>
          <t>-</t>
        </is>
      </c>
      <c r="F59" s="41" t="inlineStr">
        <is>
          <t>-</t>
        </is>
      </c>
    </row>
    <row r="60">
      <c r="A60" s="41" t="inlineStr">
        <is>
          <t>SENTRY_DSN</t>
        </is>
      </c>
      <c r="B60" s="41" t="inlineStr">
        <is>
          <t>Sentry</t>
        </is>
      </c>
      <c r="C60" s="41" t="inlineStr">
        <is>
          <t>必須</t>
        </is>
      </c>
      <c r="D60" s="41" t="inlineStr">
        <is>
          <t>P1</t>
        </is>
      </c>
      <c r="E60" s="41" t="inlineStr">
        <is>
          <t>-</t>
        </is>
      </c>
      <c r="F60" s="41" t="inlineStr">
        <is>
          <t>-</t>
        </is>
      </c>
    </row>
    <row r="61">
      <c r="A61" s="41" t="inlineStr">
        <is>
          <t>SAMPLE_DATA_SEED</t>
        </is>
      </c>
      <c r="B61" s="41" t="inlineStr">
        <is>
          <t>オンボーディングシード</t>
        </is>
      </c>
      <c r="C61" s="41" t="inlineStr">
        <is>
          <t>必須</t>
        </is>
      </c>
      <c r="D61" s="41" t="inlineStr">
        <is>
          <t>P1</t>
        </is>
      </c>
      <c r="E61" s="41" t="inlineStr">
        <is>
          <t>-</t>
        </is>
      </c>
      <c r="F61" s="41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7" min="1" max="1"/>
    <col width="40" customWidth="1" style="27" min="2" max="2"/>
    <col width="25" customWidth="1" style="27" min="3" max="3"/>
    <col width="40" customWidth="1" style="27" min="4" max="4"/>
  </cols>
  <sheetData>
    <row r="1" ht="24" customHeight="1" s="28">
      <c r="A1" s="29" t="inlineStr">
        <is>
          <t>技術スタック・ライブラリ確定版</t>
        </is>
      </c>
    </row>
    <row r="3" ht="27.75" customHeight="1" s="28">
      <c r="A3" s="34" t="inlineStr">
        <is>
          <t>カテゴリ</t>
        </is>
      </c>
      <c r="B3" s="34" t="inlineStr">
        <is>
          <t>パッケージ</t>
        </is>
      </c>
      <c r="C3" s="34" t="inlineStr">
        <is>
          <t>バージョン</t>
        </is>
      </c>
      <c r="D3" s="34" t="inlineStr">
        <is>
          <t>用途</t>
        </is>
      </c>
    </row>
    <row r="4" ht="15" customHeight="1" s="28">
      <c r="A4" s="35" t="inlineStr">
        <is>
          <t>Frontend</t>
        </is>
      </c>
      <c r="B4" s="35" t="inlineStr">
        <is>
          <t>next</t>
        </is>
      </c>
      <c r="C4" s="35" t="inlineStr">
        <is>
          <t>15.x (App Router)</t>
        </is>
      </c>
      <c r="D4" s="36" t="n"/>
    </row>
    <row r="5" ht="15" customHeight="1" s="28">
      <c r="A5" s="35" t="inlineStr">
        <is>
          <t>Frontend</t>
        </is>
      </c>
      <c r="B5" s="35" t="inlineStr">
        <is>
          <t>react</t>
        </is>
      </c>
      <c r="C5" s="35" t="inlineStr">
        <is>
          <t>19.x</t>
        </is>
      </c>
      <c r="D5" s="36" t="n"/>
    </row>
    <row r="6" ht="15" customHeight="1" s="28">
      <c r="A6" s="35" t="inlineStr">
        <is>
          <t>Frontend</t>
        </is>
      </c>
      <c r="B6" s="35" t="inlineStr">
        <is>
          <t>typescript</t>
        </is>
      </c>
      <c r="C6" s="35" t="inlineStr">
        <is>
          <t>5.x</t>
        </is>
      </c>
      <c r="D6" s="36" t="n"/>
    </row>
    <row r="7" ht="15" customHeight="1" s="28">
      <c r="A7" s="35" t="inlineStr">
        <is>
          <t>Frontend</t>
        </is>
      </c>
      <c r="B7" s="35" t="inlineStr">
        <is>
          <t>tailwindcss</t>
        </is>
      </c>
      <c r="C7" s="35" t="inlineStr">
        <is>
          <t>3.x</t>
        </is>
      </c>
      <c r="D7" s="36" t="n"/>
    </row>
    <row r="8" ht="15" customHeight="1" s="28">
      <c r="A8" s="35" t="inlineStr">
        <is>
          <t>Frontend</t>
        </is>
      </c>
      <c r="B8" s="35" t="inlineStr">
        <is>
          <t>shadcn/ui</t>
        </is>
      </c>
      <c r="C8" s="35" t="inlineStr">
        <is>
          <t>latest</t>
        </is>
      </c>
      <c r="D8" s="36" t="inlineStr">
        <is>
          <t>コンポーネント</t>
        </is>
      </c>
    </row>
    <row r="9" ht="15" customHeight="1" s="28">
      <c r="A9" s="35" t="inlineStr">
        <is>
          <t>Frontend</t>
        </is>
      </c>
      <c r="B9" s="35" t="inlineStr">
        <is>
          <t>lucide-react</t>
        </is>
      </c>
      <c r="C9" s="35" t="inlineStr">
        <is>
          <t>latest</t>
        </is>
      </c>
      <c r="D9" s="36" t="inlineStr">
        <is>
          <t>アイコン</t>
        </is>
      </c>
    </row>
    <row r="10" ht="15" customHeight="1" s="28">
      <c r="A10" s="35" t="inlineStr">
        <is>
          <t>Frontend</t>
        </is>
      </c>
      <c r="B10" s="35" t="inlineStr">
        <is>
          <t>react-hook-form + zod</t>
        </is>
      </c>
      <c r="C10" s="35" t="inlineStr">
        <is>
          <t>latest</t>
        </is>
      </c>
      <c r="D10" s="36" t="inlineStr">
        <is>
          <t>フォーム</t>
        </is>
      </c>
    </row>
    <row r="11" ht="15" customHeight="1" s="28">
      <c r="A11" s="35" t="inlineStr">
        <is>
          <t>Frontend</t>
        </is>
      </c>
      <c r="B11" s="35" t="inlineStr">
        <is>
          <t>@tanstack/react-query</t>
        </is>
      </c>
      <c r="C11" s="35" t="inlineStr">
        <is>
          <t>5.x</t>
        </is>
      </c>
      <c r="D11" s="36" t="inlineStr">
        <is>
          <t>サーバーステート</t>
        </is>
      </c>
    </row>
    <row r="12" ht="15" customHeight="1" s="28">
      <c r="A12" s="35" t="inlineStr">
        <is>
          <t>Frontend</t>
        </is>
      </c>
      <c r="B12" s="35" t="inlineStr">
        <is>
          <t>zustand</t>
        </is>
      </c>
      <c r="C12" s="35" t="inlineStr">
        <is>
          <t>4.x</t>
        </is>
      </c>
      <c r="D12" s="36" t="inlineStr">
        <is>
          <t>クライアントステート</t>
        </is>
      </c>
    </row>
    <row r="13" ht="15" customHeight="1" s="28">
      <c r="A13" s="35" t="inlineStr">
        <is>
          <t>Frontend</t>
        </is>
      </c>
      <c r="B13" s="35" t="inlineStr">
        <is>
          <t>date-fns + date-fns-tz</t>
        </is>
      </c>
      <c r="C13" s="35" t="inlineStr">
        <is>
          <t>latest</t>
        </is>
      </c>
      <c r="D13" s="36" t="inlineStr">
        <is>
          <t>日付処理</t>
        </is>
      </c>
    </row>
    <row r="14" ht="15" customHeight="1" s="28">
      <c r="A14" s="35" t="inlineStr">
        <is>
          <t>Frontend</t>
        </is>
      </c>
      <c r="B14" s="35" t="inlineStr">
        <is>
          <t>recharts</t>
        </is>
      </c>
      <c r="C14" s="35" t="inlineStr">
        <is>
          <t>2.x</t>
        </is>
      </c>
      <c r="D14" s="36" t="inlineStr">
        <is>
          <t>チャート</t>
        </is>
      </c>
    </row>
    <row r="15" ht="15" customHeight="1" s="28">
      <c r="A15" s="35" t="inlineStr">
        <is>
          <t>Frontend</t>
        </is>
      </c>
      <c r="B15" s="35" t="inlineStr">
        <is>
          <t>react-dropzone</t>
        </is>
      </c>
      <c r="C15" s="35" t="inlineStr">
        <is>
          <t>14.x</t>
        </is>
      </c>
      <c r="D15" s="36" t="inlineStr">
        <is>
          <t>ファイルアップロード</t>
        </is>
      </c>
    </row>
    <row r="16" ht="15" customHeight="1" s="28">
      <c r="A16" s="35" t="inlineStr">
        <is>
          <t>Frontend</t>
        </is>
      </c>
      <c r="B16" s="35" t="inlineStr">
        <is>
          <t>sonner</t>
        </is>
      </c>
      <c r="C16" s="35" t="inlineStr">
        <is>
          <t>latest</t>
        </is>
      </c>
      <c r="D16" s="36" t="inlineStr">
        <is>
          <t>トースト</t>
        </is>
      </c>
    </row>
    <row r="17" ht="15" customHeight="1" s="28">
      <c r="A17" s="35" t="inlineStr">
        <is>
          <t>Frontend</t>
        </is>
      </c>
      <c r="B17" s="35" t="inlineStr">
        <is>
          <t>cmdk</t>
        </is>
      </c>
      <c r="C17" s="35" t="inlineStr">
        <is>
          <t>latest</t>
        </is>
      </c>
      <c r="D17" s="36" t="inlineStr">
        <is>
          <t>コマンドパレット</t>
        </is>
      </c>
    </row>
    <row r="18" ht="15" customHeight="1" s="28">
      <c r="A18" s="35" t="inlineStr">
        <is>
          <t>Backend</t>
        </is>
      </c>
      <c r="B18" s="35" t="inlineStr">
        <is>
          <t>hono</t>
        </is>
      </c>
      <c r="C18" s="35" t="inlineStr">
        <is>
          <t>4.x</t>
        </is>
      </c>
      <c r="D18" s="35" t="inlineStr">
        <is>
          <t>Worker HTTP</t>
        </is>
      </c>
    </row>
    <row r="19" ht="15" customHeight="1" s="28">
      <c r="A19" s="35" t="inlineStr">
        <is>
          <t>Backend</t>
        </is>
      </c>
      <c r="B19" s="35" t="inlineStr">
        <is>
          <t>drizzle-orm + drizzle-kit</t>
        </is>
      </c>
      <c r="C19" s="35" t="inlineStr">
        <is>
          <t>latest</t>
        </is>
      </c>
      <c r="D19" s="35" t="inlineStr">
        <is>
          <t>ORM/migration</t>
        </is>
      </c>
    </row>
    <row r="20" ht="15" customHeight="1" s="28">
      <c r="A20" s="35" t="inlineStr">
        <is>
          <t>Backend</t>
        </is>
      </c>
      <c r="B20" s="35" t="inlineStr">
        <is>
          <t>@supabase/supabase-js</t>
        </is>
      </c>
      <c r="C20" s="35" t="inlineStr">
        <is>
          <t>2.x</t>
        </is>
      </c>
      <c r="D20" s="35" t="inlineStr">
        <is>
          <t>Supabase SDK</t>
        </is>
      </c>
    </row>
    <row r="21" ht="15" customHeight="1" s="28">
      <c r="A21" s="35" t="inlineStr">
        <is>
          <t>Backend</t>
        </is>
      </c>
      <c r="B21" s="35" t="inlineStr">
        <is>
          <t>@supabase/ssr</t>
        </is>
      </c>
      <c r="C21" s="35" t="inlineStr">
        <is>
          <t>0.5.x</t>
        </is>
      </c>
      <c r="D21" s="35" t="inlineStr">
        <is>
          <t>Next.js SSR連携</t>
        </is>
      </c>
    </row>
    <row r="22" ht="15" customHeight="1" s="28">
      <c r="A22" s="35" t="inlineStr">
        <is>
          <t>Backend</t>
        </is>
      </c>
      <c r="B22" s="35" t="inlineStr">
        <is>
          <t>googleapis</t>
        </is>
      </c>
      <c r="C22" s="35" t="inlineStr">
        <is>
          <t>140.x</t>
        </is>
      </c>
      <c r="D22" s="35" t="inlineStr">
        <is>
          <t>Google API SDK</t>
        </is>
      </c>
    </row>
    <row r="23" ht="15" customHeight="1" s="28">
      <c r="A23" s="35" t="inlineStr">
        <is>
          <t>Backend</t>
        </is>
      </c>
      <c r="B23" s="35" t="inlineStr">
        <is>
          <t>@aws-sdk/client-s3</t>
        </is>
      </c>
      <c r="C23" s="35" t="inlineStr">
        <is>
          <t>3.x</t>
        </is>
      </c>
      <c r="D23" s="35" t="inlineStr">
        <is>
          <t>R2(S3互換)</t>
        </is>
      </c>
    </row>
    <row r="24" ht="15" customHeight="1" s="28">
      <c r="A24" s="35" t="inlineStr">
        <is>
          <t>Backend</t>
        </is>
      </c>
      <c r="B24" s="35" t="inlineStr">
        <is>
          <t>@anthropic-ai/sdk</t>
        </is>
      </c>
      <c r="C24" s="35" t="inlineStr">
        <is>
          <t>latest</t>
        </is>
      </c>
      <c r="D24" s="35" t="inlineStr">
        <is>
          <t>Claude</t>
        </is>
      </c>
    </row>
    <row r="25" ht="15" customHeight="1" s="28">
      <c r="A25" s="35" t="inlineStr">
        <is>
          <t>Backend</t>
        </is>
      </c>
      <c r="B25" s="35" t="inlineStr">
        <is>
          <t>openai</t>
        </is>
      </c>
      <c r="C25" s="35" t="inlineStr">
        <is>
          <t>4.x</t>
        </is>
      </c>
      <c r="D25" s="35" t="inlineStr">
        <is>
          <t>Embeddings/Whisper/TTS</t>
        </is>
      </c>
    </row>
    <row r="26" ht="15" customHeight="1" s="28">
      <c r="A26" s="35" t="inlineStr">
        <is>
          <t>Backend</t>
        </is>
      </c>
      <c r="B26" s="35" t="inlineStr">
        <is>
          <t>pdf-parse</t>
        </is>
      </c>
      <c r="C26" s="35" t="inlineStr">
        <is>
          <t>1.x</t>
        </is>
      </c>
      <c r="D26" s="35" t="inlineStr">
        <is>
          <t>PDF抽出</t>
        </is>
      </c>
    </row>
    <row r="27" ht="15" customHeight="1" s="28">
      <c r="A27" s="35" t="inlineStr">
        <is>
          <t>Backend</t>
        </is>
      </c>
      <c r="B27" s="35" t="inlineStr">
        <is>
          <t>mammoth</t>
        </is>
      </c>
      <c r="C27" s="35" t="inlineStr">
        <is>
          <t>1.x</t>
        </is>
      </c>
      <c r="D27" s="35" t="inlineStr">
        <is>
          <t>docx抽出</t>
        </is>
      </c>
    </row>
    <row r="28" ht="15" customHeight="1" s="28">
      <c r="A28" s="35" t="inlineStr">
        <is>
          <t>Backend</t>
        </is>
      </c>
      <c r="B28" s="35" t="inlineStr">
        <is>
          <t>node-pptx-parser</t>
        </is>
      </c>
      <c r="C28" s="35" t="inlineStr">
        <is>
          <t>-</t>
        </is>
      </c>
      <c r="D28" s="35" t="inlineStr">
        <is>
          <t>pptx抽出</t>
        </is>
      </c>
    </row>
    <row r="29" ht="15" customHeight="1" s="28">
      <c r="A29" s="35" t="inlineStr">
        <is>
          <t>Backend</t>
        </is>
      </c>
      <c r="B29" s="35" t="inlineStr">
        <is>
          <t>fluent-ffmpeg</t>
        </is>
      </c>
      <c r="C29" s="35" t="inlineStr">
        <is>
          <t>latest</t>
        </is>
      </c>
      <c r="D29" s="36" t="inlineStr">
        <is>
          <t>クリップ生成</t>
        </is>
      </c>
    </row>
    <row r="30" ht="15" customHeight="1" s="28">
      <c r="A30" s="35" t="inlineStr">
        <is>
          <t>Backend</t>
        </is>
      </c>
      <c r="B30" s="35" t="inlineStr">
        <is>
          <t>webvtt-parser</t>
        </is>
      </c>
      <c r="C30" s="35" t="inlineStr">
        <is>
          <t>-</t>
        </is>
      </c>
      <c r="D30" s="35" t="inlineStr">
        <is>
          <t>VTT解析</t>
        </is>
      </c>
    </row>
    <row r="31" ht="15" customHeight="1" s="28">
      <c r="A31" s="35" t="inlineStr">
        <is>
          <t>Backend</t>
        </is>
      </c>
      <c r="B31" s="35" t="inlineStr">
        <is>
          <t>resend</t>
        </is>
      </c>
      <c r="C31" s="35" t="inlineStr">
        <is>
          <t>3.x</t>
        </is>
      </c>
      <c r="D31" s="36" t="inlineStr">
        <is>
          <t>通知メール</t>
        </is>
      </c>
    </row>
    <row r="32" ht="15" customHeight="1" s="28">
      <c r="A32" s="35" t="inlineStr">
        <is>
          <t>Backend</t>
        </is>
      </c>
      <c r="B32" s="35" t="inlineStr">
        <is>
          <t>@sentry/nextjs + @sentry/node</t>
        </is>
      </c>
      <c r="C32" s="35" t="inlineStr">
        <is>
          <t>latest</t>
        </is>
      </c>
      <c r="D32" s="36" t="inlineStr">
        <is>
          <t>エラー監視</t>
        </is>
      </c>
    </row>
    <row r="33" ht="15" customHeight="1" s="28">
      <c r="A33" s="35" t="inlineStr">
        <is>
          <t>Auth</t>
        </is>
      </c>
      <c r="B33" s="35" t="inlineStr">
        <is>
          <t>jose</t>
        </is>
      </c>
      <c r="C33" s="35" t="inlineStr">
        <is>
          <t>latest</t>
        </is>
      </c>
      <c r="D33" s="35" t="inlineStr">
        <is>
          <t>JWT検証(Pub/Sub)</t>
        </is>
      </c>
    </row>
    <row r="34" ht="15" customHeight="1" s="28">
      <c r="A34" s="35" t="inlineStr">
        <is>
          <t>Validation</t>
        </is>
      </c>
      <c r="B34" s="35" t="inlineStr">
        <is>
          <t>zod</t>
        </is>
      </c>
      <c r="C34" s="35" t="inlineStr">
        <is>
          <t>3.x</t>
        </is>
      </c>
      <c r="D34" s="36" t="inlineStr">
        <is>
          <t>スキーマ検証</t>
        </is>
      </c>
    </row>
    <row r="35" ht="15" customHeight="1" s="28">
      <c r="A35" s="35" t="inlineStr">
        <is>
          <t>Test</t>
        </is>
      </c>
      <c r="B35" s="35" t="inlineStr">
        <is>
          <t>vitest + @testing-library/react</t>
        </is>
      </c>
      <c r="C35" s="35" t="inlineStr">
        <is>
          <t>latest</t>
        </is>
      </c>
      <c r="D35" s="35" t="inlineStr">
        <is>
          <t>unit/component</t>
        </is>
      </c>
    </row>
    <row r="36" ht="15" customHeight="1" s="28">
      <c r="A36" s="35" t="inlineStr">
        <is>
          <t>Test</t>
        </is>
      </c>
      <c r="B36" s="35" t="inlineStr">
        <is>
          <t>playwright</t>
        </is>
      </c>
      <c r="C36" s="35" t="inlineStr">
        <is>
          <t>latest</t>
        </is>
      </c>
      <c r="D36" s="35" t="inlineStr">
        <is>
          <t>E2E</t>
        </is>
      </c>
    </row>
    <row r="37" ht="15" customHeight="1" s="28">
      <c r="A37" s="35" t="inlineStr">
        <is>
          <t>Build</t>
        </is>
      </c>
      <c r="B37" s="35" t="inlineStr">
        <is>
          <t>turborepo + pnpm</t>
        </is>
      </c>
      <c r="C37" s="35" t="inlineStr">
        <is>
          <t>latest</t>
        </is>
      </c>
      <c r="D37" s="36" t="inlineStr">
        <is>
          <t>モノレポ</t>
        </is>
      </c>
    </row>
    <row r="38" ht="15" customHeight="1" s="28">
      <c r="A38" s="35" t="inlineStr">
        <is>
          <t>Lint</t>
        </is>
      </c>
      <c r="B38" s="35" t="inlineStr">
        <is>
          <t>biome or eslint+prettier</t>
        </is>
      </c>
      <c r="C38" s="35" t="inlineStr">
        <is>
          <t>latest</t>
        </is>
      </c>
      <c r="D38" s="36" t="inlineStr">
        <is>
          <t>統一はbiome推奨</t>
        </is>
      </c>
    </row>
    <row r="40">
      <c r="A40" s="41" t="inlineStr">
        <is>
          <t>■ 追加採用ライブラリ(v2)</t>
        </is>
      </c>
      <c r="B40" s="41" t="n"/>
      <c r="C40" s="41" t="n"/>
      <c r="D40" s="41" t="n"/>
    </row>
    <row r="41">
      <c r="A41" s="41" t="inlineStr">
        <is>
          <t>カテゴリ</t>
        </is>
      </c>
      <c r="B41" s="41" t="inlineStr">
        <is>
          <t>ライブラリ</t>
        </is>
      </c>
      <c r="C41" s="41" t="inlineStr">
        <is>
          <t>用途</t>
        </is>
      </c>
      <c r="D41" s="41" t="inlineStr">
        <is>
          <t>Phase</t>
        </is>
      </c>
    </row>
    <row r="42">
      <c r="A42" s="41" t="inlineStr">
        <is>
          <t>Mobile Camera</t>
        </is>
      </c>
      <c r="B42" s="41" t="inlineStr">
        <is>
          <t>react-camera-pro / native MediaDevices</t>
        </is>
      </c>
      <c r="C42" s="41" t="inlineStr">
        <is>
          <t>片手撮影</t>
        </is>
      </c>
      <c r="D42" s="41" t="inlineStr">
        <is>
          <t>P1</t>
        </is>
      </c>
    </row>
    <row r="43">
      <c r="A43" s="41" t="inlineStr">
        <is>
          <t>Image processing</t>
        </is>
      </c>
      <c r="B43" s="41" t="inlineStr">
        <is>
          <t>opencv-wasm</t>
        </is>
      </c>
      <c r="C43" s="41" t="inlineStr">
        <is>
          <t>明度/反射/歪み補正</t>
        </is>
      </c>
      <c r="D43" s="41" t="inlineStr">
        <is>
          <t>P1</t>
        </is>
      </c>
    </row>
    <row r="44">
      <c r="A44" s="41" t="inlineStr">
        <is>
          <t>QR</t>
        </is>
      </c>
      <c r="B44" s="41" t="inlineStr">
        <is>
          <t>jsqr</t>
        </is>
      </c>
      <c r="C44" s="41" t="inlineStr">
        <is>
          <t>裏面QR</t>
        </is>
      </c>
      <c r="D44" s="41" t="inlineStr">
        <is>
          <t>P1</t>
        </is>
      </c>
    </row>
    <row r="45">
      <c r="A45" s="41" t="inlineStr">
        <is>
          <t>Service Worker</t>
        </is>
      </c>
      <c r="B45" s="41" t="inlineStr">
        <is>
          <t>workbox</t>
        </is>
      </c>
      <c r="C45" s="41" t="inlineStr">
        <is>
          <t>オフライン/Push</t>
        </is>
      </c>
      <c r="D45" s="41" t="inlineStr">
        <is>
          <t>P1</t>
        </is>
      </c>
    </row>
    <row r="46">
      <c r="A46" s="41" t="inlineStr">
        <is>
          <t>IndexedDB</t>
        </is>
      </c>
      <c r="B46" s="41" t="inlineStr">
        <is>
          <t>idb</t>
        </is>
      </c>
      <c r="C46" s="41" t="inlineStr">
        <is>
          <t>オフラインキュー</t>
        </is>
      </c>
      <c r="D46" s="41" t="inlineStr">
        <is>
          <t>P1</t>
        </is>
      </c>
    </row>
    <row r="47">
      <c r="A47" s="41" t="inlineStr">
        <is>
          <t>Diarization</t>
        </is>
      </c>
      <c r="B47" s="41" t="inlineStr">
        <is>
          <t>pyannote-audio (Render Worker)</t>
        </is>
      </c>
      <c r="C47" s="41" t="inlineStr">
        <is>
          <t>話者識別</t>
        </is>
      </c>
      <c r="D47" s="41" t="inlineStr">
        <is>
          <t>P1</t>
        </is>
      </c>
    </row>
    <row r="48">
      <c r="A48" s="41" t="inlineStr">
        <is>
          <t>Whisper</t>
        </is>
      </c>
      <c r="B48" s="41" t="inlineStr">
        <is>
          <t>faster-whisper / openai whisper</t>
        </is>
      </c>
      <c r="C48" s="41" t="inlineStr">
        <is>
          <t>音声認識</t>
        </is>
      </c>
      <c r="D48" s="41" t="inlineStr">
        <is>
          <t>P1</t>
        </is>
      </c>
    </row>
    <row r="49">
      <c r="A49" s="41" t="inlineStr">
        <is>
          <t>Push</t>
        </is>
      </c>
      <c r="B49" s="41" t="inlineStr">
        <is>
          <t>web-push (Node)</t>
        </is>
      </c>
      <c r="C49" s="41" t="inlineStr">
        <is>
          <t>VAPID送信</t>
        </is>
      </c>
      <c r="D49" s="41" t="inlineStr">
        <is>
          <t>P2</t>
        </is>
      </c>
    </row>
    <row r="50">
      <c r="A50" s="41" t="inlineStr">
        <is>
          <t>Maps</t>
        </is>
      </c>
      <c r="B50" s="41" t="inlineStr">
        <is>
          <t>@googlemaps/places-autocomplete</t>
        </is>
      </c>
      <c r="C50" s="41" t="inlineStr">
        <is>
          <t>対面住所</t>
        </is>
      </c>
      <c r="D50" s="41" t="inlineStr">
        <is>
          <t>P2</t>
        </is>
      </c>
    </row>
    <row r="51">
      <c r="A51" s="41" t="inlineStr">
        <is>
          <t>i18n</t>
        </is>
      </c>
      <c r="B51" s="41" t="inlineStr">
        <is>
          <t>next-i18next</t>
        </is>
      </c>
      <c r="C51" s="41" t="inlineStr">
        <is>
          <t>ja/en</t>
        </is>
      </c>
      <c r="D51" s="41" t="inlineStr">
        <is>
          <t>P3</t>
        </is>
      </c>
    </row>
    <row r="52">
      <c r="A52" s="41" t="inlineStr">
        <is>
          <t>A11y</t>
        </is>
      </c>
      <c r="B52" s="41" t="inlineStr">
        <is>
          <t>@axe-core/react</t>
        </is>
      </c>
      <c r="C52" s="41" t="inlineStr">
        <is>
          <t>a11y自動チェック</t>
        </is>
      </c>
      <c r="D52" s="41" t="inlineStr">
        <is>
          <t>P3</t>
        </is>
      </c>
    </row>
    <row r="53">
      <c r="A53" s="41" t="inlineStr">
        <is>
          <t>State</t>
        </is>
      </c>
      <c r="B53" s="41" t="inlineStr">
        <is>
          <t>Zustand or Jotai</t>
        </is>
      </c>
      <c r="C53" s="41" t="inlineStr">
        <is>
          <t>クライアント</t>
        </is>
      </c>
      <c r="D53" s="41" t="inlineStr">
        <is>
          <t>P1</t>
        </is>
      </c>
    </row>
    <row r="54">
      <c r="A54" s="41" t="inlineStr">
        <is>
          <t>Forms</t>
        </is>
      </c>
      <c r="B54" s="41" t="inlineStr">
        <is>
          <t>react-hook-form + zod</t>
        </is>
      </c>
      <c r="C54" s="41" t="inlineStr">
        <is>
          <t>autosaveと相性</t>
        </is>
      </c>
      <c r="D54" s="41" t="inlineStr">
        <is>
          <t>P1</t>
        </is>
      </c>
    </row>
    <row r="55">
      <c r="A55" s="41" t="inlineStr">
        <is>
          <t>Realtime</t>
        </is>
      </c>
      <c r="B55" s="41" t="inlineStr">
        <is>
          <t>@supabase/supabase-js Realtime</t>
        </is>
      </c>
      <c r="C55" s="41" t="inlineStr">
        <is>
          <t>複数デバイス同期</t>
        </is>
      </c>
      <c r="D55" s="41" t="inlineStr">
        <is>
          <t>P2</t>
        </is>
      </c>
    </row>
    <row r="56">
      <c r="A56" s="41" t="inlineStr">
        <is>
          <t>Charts</t>
        </is>
      </c>
      <c r="B56" s="41" t="inlineStr">
        <is>
          <t>recharts</t>
        </is>
      </c>
      <c r="C56" s="41" t="inlineStr">
        <is>
          <t>ダッシュボード</t>
        </is>
      </c>
      <c r="D56" s="41" t="inlineStr">
        <is>
          <t>P3</t>
        </is>
      </c>
    </row>
    <row r="57">
      <c r="A57" s="41" t="inlineStr">
        <is>
          <t>Date/Time</t>
        </is>
      </c>
      <c r="B57" s="41" t="inlineStr">
        <is>
          <t>date-fns-tz / luxon</t>
        </is>
      </c>
      <c r="C57" s="41" t="inlineStr">
        <is>
          <t>TZ対応</t>
        </is>
      </c>
      <c r="D57" s="41" t="inlineStr">
        <is>
          <t>P2</t>
        </is>
      </c>
    </row>
    <row r="58">
      <c r="A58" s="41" t="inlineStr">
        <is>
          <t>Validation</t>
        </is>
      </c>
      <c r="B58" s="41" t="inlineStr">
        <is>
          <t>zod</t>
        </is>
      </c>
      <c r="C58" s="41" t="inlineStr">
        <is>
          <t>API/Form</t>
        </is>
      </c>
      <c r="D58" s="41" t="inlineStr">
        <is>
          <t>P1</t>
        </is>
      </c>
    </row>
    <row r="59">
      <c r="A59" s="41" t="inlineStr">
        <is>
          <t>RTL</t>
        </is>
      </c>
      <c r="B59" s="41" t="inlineStr">
        <is>
          <t>testing-library + Playwright</t>
        </is>
      </c>
      <c r="C59" s="41" t="inlineStr">
        <is>
          <t>E2E</t>
        </is>
      </c>
      <c r="D59" s="41" t="inlineStr">
        <is>
          <t>P1</t>
        </is>
      </c>
    </row>
    <row r="60">
      <c r="A60" s="41" t="inlineStr">
        <is>
          <t>Hallucination guard</t>
        </is>
      </c>
      <c r="B60" s="41" t="inlineStr">
        <is>
          <t>Custom RAG router</t>
        </is>
      </c>
      <c r="C60" s="41" t="inlineStr">
        <is>
          <t>出典必須</t>
        </is>
      </c>
      <c r="D60" s="41" t="inlineStr">
        <is>
          <t>P3</t>
        </is>
      </c>
    </row>
    <row r="61">
      <c r="A61" s="41" t="inlineStr">
        <is>
          <t>Feature flags</t>
        </is>
      </c>
      <c r="B61" s="41" t="inlineStr">
        <is>
          <t>内製 + GrowthBook任意</t>
        </is>
      </c>
      <c r="C61" s="41" t="inlineStr">
        <is>
          <t>ロールアウト</t>
        </is>
      </c>
      <c r="D61" s="41" t="inlineStr">
        <is>
          <t>P2</t>
        </is>
      </c>
    </row>
    <row r="62">
      <c r="A62" s="41" t="inlineStr">
        <is>
          <t>A/B Test</t>
        </is>
      </c>
      <c r="B62" s="41" t="inlineStr">
        <is>
          <t>内製cohort</t>
        </is>
      </c>
      <c r="C62" s="41" t="inlineStr">
        <is>
          <t>メールテンプレ</t>
        </is>
      </c>
      <c r="D62" s="41" t="inlineStr">
        <is>
          <t>P3</t>
        </is>
      </c>
    </row>
    <row r="63">
      <c r="A63" s="41" t="inlineStr">
        <is>
          <t>Calendly UI</t>
        </is>
      </c>
      <c r="B63" s="41" t="inlineStr">
        <is>
          <t>内製(週カレンダー)</t>
        </is>
      </c>
      <c r="C63" s="41" t="inlineStr">
        <is>
          <t>顧客向け</t>
        </is>
      </c>
      <c r="D63" s="41" t="inlineStr">
        <is>
          <t>P2</t>
        </is>
      </c>
    </row>
    <row r="64">
      <c r="A64" s="41" t="inlineStr">
        <is>
          <t>Streaming</t>
        </is>
      </c>
      <c r="B64" s="41" t="inlineStr">
        <is>
          <t>Vercel AI SDK / Server-sent</t>
        </is>
      </c>
      <c r="C64" s="41" t="inlineStr">
        <is>
          <t>ナレッジチャット</t>
        </is>
      </c>
      <c r="D64" s="41" t="inlineStr">
        <is>
          <t>P3</t>
        </is>
      </c>
    </row>
    <row r="65">
      <c r="A65" s="41" t="inlineStr">
        <is>
          <t>Crypto</t>
        </is>
      </c>
      <c r="B65" s="41" t="inlineStr">
        <is>
          <t>libsodium / Supabase Vault</t>
        </is>
      </c>
      <c r="C65" s="41" t="inlineStr">
        <is>
          <t>暗号化</t>
        </is>
      </c>
      <c r="D65" s="41" t="inlineStr">
        <is>
          <t>P1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7" min="1" max="1"/>
    <col width="100" customWidth="1" style="27" min="2" max="2"/>
    <col width="18" customWidth="1" style="27" min="3" max="3"/>
    <col width="14" customWidth="1" style="27" min="4" max="4"/>
    <col width="18" customWidth="1" style="27" min="5" max="5"/>
  </cols>
  <sheetData>
    <row r="1" ht="24" customHeight="1" s="28">
      <c r="A1" s="29" t="inlineStr">
        <is>
          <t>月次コスト試算</t>
        </is>
      </c>
    </row>
    <row r="2" ht="18" customHeight="1" s="28">
      <c r="A2" s="30" t="inlineStr">
        <is>
          <t>前提: 10名 / 商談200件/月 / 録画100本/月 / 名刺150枚/月</t>
        </is>
      </c>
    </row>
    <row r="4" ht="21.75" customHeight="1" s="28">
      <c r="A4" s="33" t="inlineStr">
        <is>
          <t>■ 前提と単価(C列・D列に入力すると総額が再計算)</t>
        </is>
      </c>
    </row>
    <row r="5" ht="17.15" customHeight="1" s="28">
      <c r="A5" s="34" t="inlineStr">
        <is>
          <t>項目</t>
        </is>
      </c>
      <c r="B5" s="34" t="inlineStr">
        <is>
          <t>前提</t>
        </is>
      </c>
      <c r="C5" s="34" t="inlineStr">
        <is>
          <t>単価</t>
        </is>
      </c>
      <c r="D5" s="34" t="inlineStr">
        <is>
          <t>数量</t>
        </is>
      </c>
      <c r="E5" s="34" t="inlineStr">
        <is>
          <t>月額(USD)</t>
        </is>
      </c>
    </row>
    <row r="6" ht="15" customHeight="1" s="28">
      <c r="A6" s="35" t="inlineStr">
        <is>
          <t>Render Web Service</t>
        </is>
      </c>
      <c r="B6" s="35" t="inlineStr">
        <is>
          <t>Standard</t>
        </is>
      </c>
      <c r="C6" s="49" t="n">
        <v>25</v>
      </c>
      <c r="D6" s="50" t="n">
        <v>1</v>
      </c>
      <c r="E6" s="51">
        <f>C6*D6</f>
        <v/>
      </c>
    </row>
    <row r="7" ht="15" customHeight="1" s="28">
      <c r="A7" s="35" t="inlineStr">
        <is>
          <t>Render Background Worker</t>
        </is>
      </c>
      <c r="B7" s="35" t="inlineStr">
        <is>
          <t>Standard</t>
        </is>
      </c>
      <c r="C7" s="49" t="n">
        <v>25</v>
      </c>
      <c r="D7" s="50" t="n">
        <v>1</v>
      </c>
      <c r="E7" s="51">
        <f>C7*D7</f>
        <v/>
      </c>
    </row>
    <row r="8" ht="15" customHeight="1" s="28">
      <c r="A8" s="35" t="inlineStr">
        <is>
          <t>Supabase Pro</t>
        </is>
      </c>
      <c r="B8" s="35" t="inlineStr">
        <is>
          <t>8GB DB + 100GB帯域</t>
        </is>
      </c>
      <c r="C8" s="49" t="n">
        <v>25</v>
      </c>
      <c r="D8" s="50" t="n">
        <v>1</v>
      </c>
      <c r="E8" s="51">
        <f>C8*D8</f>
        <v/>
      </c>
    </row>
    <row r="9" ht="15" customHeight="1" s="28">
      <c r="A9" s="35" t="inlineStr">
        <is>
          <t>Cloudflare R2 Storage</t>
        </is>
      </c>
      <c r="B9" s="35" t="inlineStr">
        <is>
          <t>500GB保存</t>
        </is>
      </c>
      <c r="C9" s="49" t="n">
        <v>0.015</v>
      </c>
      <c r="D9" s="50" t="n">
        <v>500</v>
      </c>
      <c r="E9" s="51">
        <f>C9*D9</f>
        <v/>
      </c>
    </row>
    <row r="10" ht="15" customHeight="1" s="28">
      <c r="A10" s="35" t="inlineStr">
        <is>
          <t>Cloudflare R2 Class A ops</t>
        </is>
      </c>
      <c r="B10" s="36" t="inlineStr">
        <is>
          <t>書き込み</t>
        </is>
      </c>
      <c r="C10" s="49" t="n">
        <v>4.5e-06</v>
      </c>
      <c r="D10" s="50" t="n">
        <v>10000</v>
      </c>
      <c r="E10" s="51">
        <f>C10*D10</f>
        <v/>
      </c>
    </row>
    <row r="11" ht="15" customHeight="1" s="28">
      <c r="A11" s="35" t="inlineStr">
        <is>
          <t>Anthropic Claude(録画解析)</t>
        </is>
      </c>
      <c r="B11" s="35" t="inlineStr">
        <is>
          <t>$15/Mtokens入力 ×100本×30k tokens</t>
        </is>
      </c>
      <c r="C11" s="49" t="n">
        <v>0.00045</v>
      </c>
      <c r="D11" s="50" t="n">
        <v>100</v>
      </c>
      <c r="E11" s="51">
        <f>C11*D11</f>
        <v/>
      </c>
    </row>
    <row r="12" ht="15" customHeight="1" s="28">
      <c r="A12" s="35" t="inlineStr">
        <is>
          <t>Anthropic Claude(その他)</t>
        </is>
      </c>
      <c r="B12" s="36" t="inlineStr">
        <is>
          <t>チャット/ロープレ等</t>
        </is>
      </c>
      <c r="C12" s="49" t="n">
        <v>30</v>
      </c>
      <c r="D12" s="50" t="n">
        <v>1</v>
      </c>
      <c r="E12" s="51">
        <f>C12*D12</f>
        <v/>
      </c>
    </row>
    <row r="13" ht="15" customHeight="1" s="28">
      <c r="A13" s="35" t="inlineStr">
        <is>
          <t>OpenAI Embeddings</t>
        </is>
      </c>
      <c r="B13" s="35" t="inlineStr">
        <is>
          <t>$0.02/Mtokens × 5M tokens</t>
        </is>
      </c>
      <c r="C13" s="49" t="n">
        <v>2e-08</v>
      </c>
      <c r="D13" s="50" t="n">
        <v>5000000</v>
      </c>
      <c r="E13" s="51">
        <f>C13*D13</f>
        <v/>
      </c>
    </row>
    <row r="14" ht="15" customHeight="1" s="28">
      <c r="A14" s="35" t="inlineStr">
        <is>
          <t>OpenAI Whisper(補完のみ)</t>
        </is>
      </c>
      <c r="B14" s="35" t="inlineStr">
        <is>
          <t>$0.006/分 × 1000分</t>
        </is>
      </c>
      <c r="C14" s="49" t="n">
        <v>0.006</v>
      </c>
      <c r="D14" s="50" t="n">
        <v>1000</v>
      </c>
      <c r="E14" s="51">
        <f>C14*D14</f>
        <v/>
      </c>
    </row>
    <row r="15" ht="15" customHeight="1" s="28">
      <c r="A15" s="35" t="inlineStr">
        <is>
          <t>OpenAI TTS(P3以降)</t>
        </is>
      </c>
      <c r="B15" s="35" t="inlineStr">
        <is>
          <t>$15/M文字 × 200k文字</t>
        </is>
      </c>
      <c r="C15" s="49" t="n">
        <v>1.5e-05</v>
      </c>
      <c r="D15" s="50" t="n">
        <v>200000</v>
      </c>
      <c r="E15" s="51">
        <f>C15*D15</f>
        <v/>
      </c>
    </row>
    <row r="16" ht="15" customHeight="1" s="28">
      <c r="A16" s="35" t="inlineStr">
        <is>
          <t>Google Vision Document AI</t>
        </is>
      </c>
      <c r="B16" s="36" t="inlineStr">
        <is>
          <t>無料枠1000件超過分(150件→無料内)</t>
        </is>
      </c>
      <c r="C16" s="49" t="n">
        <v>0</v>
      </c>
      <c r="D16" s="50" t="n">
        <v>0</v>
      </c>
      <c r="E16" s="51">
        <f>C16*D16</f>
        <v/>
      </c>
    </row>
    <row r="17" ht="15" customHeight="1" s="28">
      <c r="A17" s="35" t="inlineStr">
        <is>
          <t>Google Cloud Pub/Sub</t>
        </is>
      </c>
      <c r="B17" s="35" t="inlineStr">
        <is>
          <t>topic+subscriber</t>
        </is>
      </c>
      <c r="C17" s="49" t="n">
        <v>1</v>
      </c>
      <c r="D17" s="50" t="n">
        <v>1</v>
      </c>
      <c r="E17" s="51">
        <f>C17*D17</f>
        <v/>
      </c>
    </row>
    <row r="18" ht="15" customHeight="1" s="28">
      <c r="A18" s="35" t="inlineStr">
        <is>
          <t>Resend</t>
        </is>
      </c>
      <c r="B18" s="35" t="inlineStr">
        <is>
          <t>3000通/月 まで無料</t>
        </is>
      </c>
      <c r="C18" s="49" t="n">
        <v>0</v>
      </c>
      <c r="D18" s="50" t="n">
        <v>1</v>
      </c>
      <c r="E18" s="51">
        <f>C18*D18</f>
        <v/>
      </c>
    </row>
    <row r="19" ht="15" customHeight="1" s="28">
      <c r="A19" s="35" t="inlineStr">
        <is>
          <t>Sentry Developer</t>
        </is>
      </c>
      <c r="B19" s="36" t="inlineStr">
        <is>
          <t>個人プラン</t>
        </is>
      </c>
      <c r="C19" s="49" t="n">
        <v>0</v>
      </c>
      <c r="D19" s="50" t="n">
        <v>1</v>
      </c>
      <c r="E19" s="51">
        <f>C19*D19</f>
        <v/>
      </c>
    </row>
    <row r="20" ht="15" customHeight="1" s="28">
      <c r="A20" s="36" t="inlineStr">
        <is>
          <t>ドメイン+SSL</t>
        </is>
      </c>
      <c r="B20" s="35" t="inlineStr">
        <is>
          <t>Cloudflare</t>
        </is>
      </c>
      <c r="C20" s="49" t="n">
        <v>1</v>
      </c>
      <c r="D20" s="50" t="n">
        <v>1</v>
      </c>
      <c r="E20" s="51">
        <f>C20*D20</f>
        <v/>
      </c>
    </row>
    <row r="21" ht="15" customHeight="1" s="28">
      <c r="A21" s="52" t="inlineStr">
        <is>
          <t>合計(USD/月)</t>
        </is>
      </c>
      <c r="B21" s="53" t="n"/>
      <c r="C21" s="53" t="n"/>
      <c r="D21" s="53" t="n"/>
      <c r="E21" s="54">
        <f>SUM(E6:E20)</f>
        <v/>
      </c>
    </row>
    <row r="22" ht="15" customHeight="1" s="28">
      <c r="A22" s="52" t="inlineStr">
        <is>
          <t>合計(JPY/月 @150)</t>
        </is>
      </c>
      <c r="B22" s="53" t="n"/>
      <c r="C22" s="53" t="n"/>
      <c r="D22" s="53" t="n"/>
      <c r="E22" s="55">
        <f>E21*150</f>
        <v/>
      </c>
    </row>
    <row r="24" ht="21.75" customHeight="1" s="28">
      <c r="A24" s="33" t="inlineStr">
        <is>
          <t>■ コストが跳ねる主な要因</t>
        </is>
      </c>
    </row>
    <row r="25" ht="27.75" customHeight="1" s="28">
      <c r="A25" s="34" t="inlineStr">
        <is>
          <t>要因</t>
        </is>
      </c>
      <c r="B25" s="34" t="inlineStr">
        <is>
          <t>影響</t>
        </is>
      </c>
    </row>
    <row r="26" ht="15" customHeight="1" s="28">
      <c r="A26" s="36" t="inlineStr">
        <is>
          <t>録画本数増</t>
        </is>
      </c>
      <c r="B26" s="35" t="inlineStr">
        <is>
          <t>Claude入力tokensが線形増。300本なら$135相当(録画解析だけで)</t>
        </is>
      </c>
    </row>
    <row r="27" ht="15" customHeight="1" s="28">
      <c r="A27" s="36" t="inlineStr">
        <is>
          <t>録画長時間化</t>
        </is>
      </c>
      <c r="B27" s="35" t="inlineStr">
        <is>
          <t>60分→90分で約1.5倍</t>
        </is>
      </c>
    </row>
    <row r="28" ht="15" customHeight="1" s="28">
      <c r="A28" s="36" t="inlineStr">
        <is>
          <t>動画保存量</t>
        </is>
      </c>
      <c r="B28" s="35" t="inlineStr">
        <is>
          <t>R2は$0.015/GB/月。1年で1TBに達することがある</t>
        </is>
      </c>
    </row>
    <row r="29" ht="15" customHeight="1" s="28">
      <c r="A29" s="36" t="inlineStr">
        <is>
          <t>ロープレ多用</t>
        </is>
      </c>
      <c r="B29" s="35" t="inlineStr">
        <is>
          <t>Claude+TTSで1セッション$0.10〜0.30</t>
        </is>
      </c>
    </row>
    <row r="30" ht="15" customHeight="1" s="28">
      <c r="A30" s="35" t="inlineStr">
        <is>
          <t>Whisper多用</t>
        </is>
      </c>
      <c r="B30" s="35" t="inlineStr">
        <is>
          <t>Zoom文字起こしで足りる場合は使わない判断重要</t>
        </is>
      </c>
    </row>
    <row r="32">
      <c r="A32" s="41" t="inlineStr">
        <is>
          <t>■ 追加コスト試算(v2)</t>
        </is>
      </c>
      <c r="B32" s="41" t="n"/>
      <c r="C32" s="41" t="n"/>
      <c r="D32" s="41" t="n"/>
      <c r="E32" s="41" t="n"/>
    </row>
    <row r="33">
      <c r="A33" s="41" t="inlineStr">
        <is>
          <t>項目</t>
        </is>
      </c>
      <c r="B33" s="41" t="inlineStr">
        <is>
          <t>数量</t>
        </is>
      </c>
      <c r="C33" s="41" t="inlineStr">
        <is>
          <t>単価</t>
        </is>
      </c>
      <c r="D33" s="41" t="inlineStr">
        <is>
          <t>月額</t>
        </is>
      </c>
      <c r="E33" s="41" t="inlineStr">
        <is>
          <t>備考</t>
        </is>
      </c>
    </row>
    <row r="34">
      <c r="A34" s="41" t="inlineStr">
        <is>
          <t>Pyannote Workerホスティング(GPU不要)</t>
        </is>
      </c>
      <c r="B34" s="41" t="inlineStr">
        <is>
          <t>1台</t>
        </is>
      </c>
      <c r="C34" s="41" t="inlineStr">
        <is>
          <t>$0/月</t>
        </is>
      </c>
      <c r="D34" s="41" t="inlineStr">
        <is>
          <t>内包</t>
        </is>
      </c>
      <c r="E34" s="41" t="inlineStr">
        <is>
          <t>Render Standard内</t>
        </is>
      </c>
    </row>
    <row r="35">
      <c r="A35" s="41" t="inlineStr">
        <is>
          <t>Web Push</t>
        </is>
      </c>
      <c r="B35" s="41" t="inlineStr">
        <is>
          <t>-</t>
        </is>
      </c>
      <c r="C35" s="41" t="inlineStr">
        <is>
          <t>-</t>
        </is>
      </c>
      <c r="D35" s="41" t="inlineStr">
        <is>
          <t>$0</t>
        </is>
      </c>
      <c r="E35" s="41" t="inlineStr">
        <is>
          <t>VAPID自前</t>
        </is>
      </c>
    </row>
    <row r="36">
      <c r="A36" s="41" t="inlineStr">
        <is>
          <t>Cloudflare R2(東京)</t>
        </is>
      </c>
      <c r="B36" s="41" t="inlineStr">
        <is>
          <t>100GB</t>
        </is>
      </c>
      <c r="C36" s="41" t="inlineStr">
        <is>
          <t>$0.015/GB</t>
        </is>
      </c>
      <c r="D36" s="41" t="inlineStr">
        <is>
          <t>$1.5</t>
        </is>
      </c>
      <c r="E36" s="41" t="inlineStr">
        <is>
          <t>-</t>
        </is>
      </c>
    </row>
    <row r="37">
      <c r="A37" s="41" t="inlineStr">
        <is>
          <t>Supabase PITR(Pro)</t>
        </is>
      </c>
      <c r="B37" s="41" t="inlineStr">
        <is>
          <t>-</t>
        </is>
      </c>
      <c r="C37" s="41" t="inlineStr">
        <is>
          <t>$10/組織</t>
        </is>
      </c>
      <c r="D37" s="41" t="inlineStr">
        <is>
          <t>$10</t>
        </is>
      </c>
      <c r="E37" s="41" t="inlineStr">
        <is>
          <t>Backup含む</t>
        </is>
      </c>
    </row>
    <row r="38">
      <c r="A38" s="41" t="inlineStr">
        <is>
          <t>Supabase Realtime</t>
        </is>
      </c>
      <c r="B38" s="41" t="inlineStr">
        <is>
          <t>-</t>
        </is>
      </c>
      <c r="C38" s="41" t="inlineStr">
        <is>
          <t>-</t>
        </is>
      </c>
      <c r="D38" s="41" t="inlineStr">
        <is>
          <t>$0</t>
        </is>
      </c>
      <c r="E38" s="41" t="inlineStr">
        <is>
          <t>Pro内</t>
        </is>
      </c>
    </row>
    <row r="39">
      <c r="A39" s="41" t="inlineStr">
        <is>
          <t>Maps Places</t>
        </is>
      </c>
      <c r="B39" s="41" t="inlineStr">
        <is>
          <t>6000QPM超過分</t>
        </is>
      </c>
      <c r="C39" s="41" t="inlineStr">
        <is>
          <t>-</t>
        </is>
      </c>
      <c r="D39" s="41" t="inlineStr">
        <is>
          <t>$0-30</t>
        </is>
      </c>
      <c r="E39" s="41" t="inlineStr">
        <is>
          <t>ライト想定</t>
        </is>
      </c>
    </row>
    <row r="40">
      <c r="A40" s="41" t="inlineStr">
        <is>
          <t>i18n翻訳ベンダー(任意)</t>
        </is>
      </c>
      <c r="B40" s="41" t="inlineStr">
        <is>
          <t>-</t>
        </is>
      </c>
      <c r="C40" s="41" t="inlineStr">
        <is>
          <t>-</t>
        </is>
      </c>
      <c r="D40" s="41" t="inlineStr">
        <is>
          <t>$50</t>
        </is>
      </c>
      <c r="E40" s="41" t="inlineStr">
        <is>
          <t>初期翻訳のみ</t>
        </is>
      </c>
    </row>
    <row r="41">
      <c r="A41" s="41" t="inlineStr">
        <is>
          <t>Sentry</t>
        </is>
      </c>
      <c r="B41" s="41" t="inlineStr">
        <is>
          <t>-</t>
        </is>
      </c>
      <c r="C41" s="41" t="inlineStr">
        <is>
          <t>Team</t>
        </is>
      </c>
      <c r="D41" s="41" t="inlineStr">
        <is>
          <t>$26</t>
        </is>
      </c>
      <c r="E41" s="41" t="inlineStr">
        <is>
          <t>monthly</t>
        </is>
      </c>
    </row>
    <row r="42">
      <c r="A42" s="41" t="inlineStr">
        <is>
          <t>合計増分</t>
        </is>
      </c>
      <c r="B42" s="41" t="inlineStr"/>
      <c r="C42" s="41" t="inlineStr"/>
      <c r="D42" s="41" t="inlineStr">
        <is>
          <t>≒$100</t>
        </is>
      </c>
      <c r="E42" s="41" t="inlineStr">
        <is>
          <t>-</t>
        </is>
      </c>
    </row>
    <row r="44">
      <c r="A44" s="41" t="inlineStr">
        <is>
          <t>■ Round2指摘反映追加(v2.2)</t>
        </is>
      </c>
      <c r="B44" s="41" t="n"/>
      <c r="C44" s="41" t="n"/>
      <c r="D44" s="41" t="n"/>
      <c r="E44" s="41" t="n"/>
    </row>
    <row r="45">
      <c r="A45" s="41" t="inlineStr">
        <is>
          <t>項目</t>
        </is>
      </c>
      <c r="B45" s="41" t="inlineStr">
        <is>
          <t>数量</t>
        </is>
      </c>
      <c r="C45" s="41" t="inlineStr">
        <is>
          <t>単価</t>
        </is>
      </c>
      <c r="D45" s="41" t="inlineStr">
        <is>
          <t>月額</t>
        </is>
      </c>
      <c r="E45" s="41" t="inlineStr">
        <is>
          <t>備考</t>
        </is>
      </c>
    </row>
    <row r="46">
      <c r="A46" s="41" t="inlineStr">
        <is>
          <t>LLM cost cap算出基準(N-1)</t>
        </is>
      </c>
      <c r="B46" s="41" t="inlineStr">
        <is>
          <t>-</t>
        </is>
      </c>
      <c r="C46" s="41" t="inlineStr">
        <is>
          <t>-</t>
        </is>
      </c>
      <c r="D46" s="41" t="inlineStr">
        <is>
          <t>-</t>
        </is>
      </c>
      <c r="E46" s="41" t="inlineStr">
        <is>
          <t>¥150/$1基準、為替±10%以上変動でポリシー再評価。月予算150%でhard stop</t>
        </is>
      </c>
    </row>
    <row r="47">
      <c r="A47" s="41" t="inlineStr">
        <is>
          <t>per-conversation cap</t>
        </is>
      </c>
      <c r="B47" s="41" t="inlineStr">
        <is>
          <t>-</t>
        </is>
      </c>
      <c r="C47" s="41" t="inlineStr">
        <is>
          <t>-</t>
        </is>
      </c>
      <c r="D47" s="41" t="inlineStr">
        <is>
          <t>$0.10</t>
        </is>
      </c>
      <c r="E47" s="41" t="inlineStr">
        <is>
          <t>retrieval+生成合計、超過時はreject</t>
        </is>
      </c>
    </row>
    <row r="48">
      <c r="A48" s="41" t="inlineStr">
        <is>
          <t>per-meeting cap</t>
        </is>
      </c>
      <c r="B48" s="41" t="inlineStr">
        <is>
          <t>-</t>
        </is>
      </c>
      <c r="C48" s="41" t="inlineStr">
        <is>
          <t>-</t>
        </is>
      </c>
      <c r="D48" s="41" t="inlineStr">
        <is>
          <t>$0.50</t>
        </is>
      </c>
      <c r="E48" s="41" t="inlineStr">
        <is>
          <t>stage1+2+3+reprocess含む、超過時Haiku強制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50" customWidth="1" style="27" min="2" max="2"/>
    <col width="80" customWidth="1" style="27" min="3" max="3"/>
    <col width="8" customWidth="1" style="27" min="4" max="4"/>
    <col width="50" customWidth="1" style="27" min="5" max="5"/>
    <col width="12" customWidth="1" style="27" min="6" max="6"/>
  </cols>
  <sheetData>
    <row r="1" ht="24" customHeight="1" s="28">
      <c r="A1" s="29" t="inlineStr">
        <is>
          <t>リスク・未決事項・設計判断ログ</t>
        </is>
      </c>
    </row>
    <row r="3" ht="21.75" customHeight="1" s="28">
      <c r="A3" s="33" t="inlineStr">
        <is>
          <t>■ リスク一覧</t>
        </is>
      </c>
    </row>
    <row r="4" ht="27.75" customHeight="1" s="28">
      <c r="A4" s="37" t="inlineStr">
        <is>
          <t>ID</t>
        </is>
      </c>
      <c r="B4" s="34" t="inlineStr">
        <is>
          <t>リスク</t>
        </is>
      </c>
      <c r="C4" s="34" t="inlineStr">
        <is>
          <t>影響</t>
        </is>
      </c>
      <c r="D4" s="34" t="inlineStr">
        <is>
          <t>確率</t>
        </is>
      </c>
      <c r="E4" s="34" t="inlineStr">
        <is>
          <t>緩和策</t>
        </is>
      </c>
      <c r="F4" s="34" t="inlineStr">
        <is>
          <t>担当</t>
        </is>
      </c>
    </row>
    <row r="5" ht="15" customHeight="1" s="28">
      <c r="A5" s="35" t="inlineStr">
        <is>
          <t>R-01</t>
        </is>
      </c>
      <c r="B5" s="35" t="inlineStr">
        <is>
          <t>Zoomのwebhookが3秒以上かかると失敗</t>
        </is>
      </c>
      <c r="C5" s="36" t="inlineStr">
        <is>
          <t>録画自動取り込み欠損</t>
        </is>
      </c>
      <c r="D5" s="36" t="inlineStr">
        <is>
          <t>中</t>
        </is>
      </c>
      <c r="E5" s="35" t="inlineStr">
        <is>
          <t>Webhookは即200返却+pgmq投入のみ。重い処理はWorker側</t>
        </is>
      </c>
      <c r="F5" s="36" t="inlineStr">
        <is>
          <t>実装時</t>
        </is>
      </c>
    </row>
    <row r="6" ht="29.85" customHeight="1" s="28">
      <c r="A6" s="35" t="inlineStr">
        <is>
          <t>R-02</t>
        </is>
      </c>
      <c r="B6" s="36" t="inlineStr">
        <is>
          <t>日本語の曖昧日時パース失敗</t>
        </is>
      </c>
      <c r="C6" s="36" t="inlineStr">
        <is>
          <t>スケジュール誤確定→事故</t>
        </is>
      </c>
      <c r="D6" s="36" t="inlineStr">
        <is>
          <t>高</t>
        </is>
      </c>
      <c r="E6" s="36" t="inlineStr">
        <is>
          <t>低confidence時は needs_review必須。確定前に営業が必ず確認するUX</t>
        </is>
      </c>
      <c r="F6" s="35" t="inlineStr">
        <is>
          <t>P2実装時</t>
        </is>
      </c>
    </row>
    <row r="7" ht="29.85" customHeight="1" s="28">
      <c r="A7" s="35" t="inlineStr">
        <is>
          <t>R-03</t>
        </is>
      </c>
      <c r="B7" s="35" t="inlineStr">
        <is>
          <t>Gmail Pub/Sub の history.list 取りこぼし</t>
        </is>
      </c>
      <c r="C7" s="36" t="inlineStr">
        <is>
          <t>返信を見逃す</t>
        </is>
      </c>
      <c r="D7" s="36" t="inlineStr">
        <is>
          <t>中</t>
        </is>
      </c>
      <c r="E7" s="35" t="inlineStr">
        <is>
          <t>history_idベースで継続取得。1時間1回フォールバックポーリング</t>
        </is>
      </c>
      <c r="F7" s="35" t="inlineStr">
        <is>
          <t>P2実装時</t>
        </is>
      </c>
    </row>
    <row r="8" ht="15" customHeight="1" s="28">
      <c r="A8" s="35" t="inlineStr">
        <is>
          <t>R-04</t>
        </is>
      </c>
      <c r="B8" s="35" t="inlineStr">
        <is>
          <t>OAuth refresh_token の期限切れ・失効</t>
        </is>
      </c>
      <c r="C8" s="35" t="inlineStr">
        <is>
          <t>API呼び出し全停止</t>
        </is>
      </c>
      <c r="D8" s="36" t="inlineStr">
        <is>
          <t>中</t>
        </is>
      </c>
      <c r="E8" s="36" t="inlineStr">
        <is>
          <t>エラー時に再認証通知、ユーザーに再ログイン誘導</t>
        </is>
      </c>
      <c r="F8" s="35" t="inlineStr">
        <is>
          <t>P1実装時</t>
        </is>
      </c>
    </row>
    <row r="9" ht="15" customHeight="1" s="28">
      <c r="A9" s="35" t="inlineStr">
        <is>
          <t>R-05</t>
        </is>
      </c>
      <c r="B9" s="36" t="inlineStr">
        <is>
          <t>録画動画のサイズが大きく処理タイムアウト</t>
        </is>
      </c>
      <c r="C9" s="36" t="inlineStr">
        <is>
          <t>解析失敗</t>
        </is>
      </c>
      <c r="D9" s="36" t="inlineStr">
        <is>
          <t>中</t>
        </is>
      </c>
      <c r="E9" s="36" t="inlineStr">
        <is>
          <t>マルチパートアップロード、長尺はチャンク分割文字起こし</t>
        </is>
      </c>
      <c r="F9" s="35" t="inlineStr">
        <is>
          <t>P1実装時</t>
        </is>
      </c>
    </row>
    <row r="10" ht="29.85" customHeight="1" s="28">
      <c r="A10" s="35" t="inlineStr">
        <is>
          <t>R-06</t>
        </is>
      </c>
      <c r="B10" s="35" t="inlineStr">
        <is>
          <t>LLM抽出の品質ばらつき(commitments漏れ等)</t>
        </is>
      </c>
      <c r="C10" s="35" t="inlineStr">
        <is>
          <t>CSの言った言わない対応で逆に問題</t>
        </is>
      </c>
      <c r="D10" s="36" t="inlineStr">
        <is>
          <t>高</t>
        </is>
      </c>
      <c r="E10" s="36" t="inlineStr">
        <is>
          <t>抽出結果は必ず編集可能、原文発言にジャンプできる、AIだけを根拠にしない注記</t>
        </is>
      </c>
      <c r="F10" s="35" t="inlineStr">
        <is>
          <t>P1実装時</t>
        </is>
      </c>
    </row>
    <row r="11" ht="15" customHeight="1" s="28">
      <c r="A11" s="35" t="inlineStr">
        <is>
          <t>R-07</t>
        </is>
      </c>
      <c r="B11" s="35" t="inlineStr">
        <is>
          <t>OCR誤認識(社名や名前の漢字)</t>
        </is>
      </c>
      <c r="C11" s="36" t="inlineStr">
        <is>
          <t>誤った相手にメール送信</t>
        </is>
      </c>
      <c r="D11" s="36" t="inlineStr">
        <is>
          <t>高</t>
        </is>
      </c>
      <c r="E11" s="36" t="inlineStr">
        <is>
          <t>確認画面を必ず挟む。送信前のドラフト確認も必須</t>
        </is>
      </c>
      <c r="F11" s="35" t="inlineStr">
        <is>
          <t>P1実装時</t>
        </is>
      </c>
    </row>
    <row r="12" ht="29.85" customHeight="1" s="28">
      <c r="A12" s="35" t="inlineStr">
        <is>
          <t>R-08</t>
        </is>
      </c>
      <c r="B12" s="36" t="inlineStr">
        <is>
          <t>退職者の OAuthトークン残置</t>
        </is>
      </c>
      <c r="C12" s="36" t="inlineStr">
        <is>
          <t>セキュリティリスク</t>
        </is>
      </c>
      <c r="D12" s="36" t="inlineStr">
        <is>
          <t>高</t>
        </is>
      </c>
      <c r="E12" s="36" t="inlineStr">
        <is>
          <t>退職処理で物理削除、Vault側もrevoke、Google側のトークン取り消しAPI呼び出し</t>
        </is>
      </c>
      <c r="F12" s="35" t="inlineStr">
        <is>
          <t>P1実装時</t>
        </is>
      </c>
    </row>
    <row r="13" ht="15" customHeight="1" s="28">
      <c r="A13" s="35" t="inlineStr">
        <is>
          <t>R-09</t>
        </is>
      </c>
      <c r="B13" s="35" t="inlineStr">
        <is>
          <t>pgvector インデックスの劣化</t>
        </is>
      </c>
      <c r="C13" s="36" t="inlineStr">
        <is>
          <t>検索遅延</t>
        </is>
      </c>
      <c r="D13" s="36" t="inlineStr">
        <is>
          <t>低</t>
        </is>
      </c>
      <c r="E13" s="36" t="inlineStr">
        <is>
          <t>データ10万件超で再構築。VACUUM定期実行</t>
        </is>
      </c>
      <c r="F13" s="36" t="inlineStr">
        <is>
          <t>将来</t>
        </is>
      </c>
    </row>
    <row r="14" ht="29.85" customHeight="1" s="28">
      <c r="A14" s="35" t="inlineStr">
        <is>
          <t>R-10</t>
        </is>
      </c>
      <c r="B14" s="35" t="inlineStr">
        <is>
          <t>Claude料金高騰</t>
        </is>
      </c>
      <c r="C14" s="36" t="inlineStr">
        <is>
          <t>コスト超過</t>
        </is>
      </c>
      <c r="D14" s="36" t="inlineStr">
        <is>
          <t>中</t>
        </is>
      </c>
      <c r="E14" s="36" t="inlineStr">
        <is>
          <t>プロンプトキャッシュ活用、長文は部分要約してから再処理、月次上限設定</t>
        </is>
      </c>
      <c r="F14" s="35" t="inlineStr">
        <is>
          <t>P3実装時</t>
        </is>
      </c>
    </row>
    <row r="15" ht="15" customHeight="1" s="28">
      <c r="A15" s="35" t="inlineStr">
        <is>
          <t>R-11</t>
        </is>
      </c>
      <c r="B15" s="36" t="inlineStr">
        <is>
          <t>個人情報法令対応</t>
        </is>
      </c>
      <c r="C15" s="36" t="inlineStr">
        <is>
          <t>コンプライアンス違反</t>
        </is>
      </c>
      <c r="D15" s="36" t="inlineStr">
        <is>
          <t>中</t>
        </is>
      </c>
      <c r="E15" s="36" t="inlineStr">
        <is>
          <t>プライバシーポリシー、削除依頼対応フロー、データ暗号化</t>
        </is>
      </c>
      <c r="F15" s="36" t="inlineStr">
        <is>
          <t>運用前</t>
        </is>
      </c>
    </row>
    <row r="16" ht="15" customHeight="1" s="28">
      <c r="A16" s="35" t="inlineStr">
        <is>
          <t>R-12</t>
        </is>
      </c>
      <c r="B16" s="36" t="inlineStr">
        <is>
          <t>商談録画の本人同意</t>
        </is>
      </c>
      <c r="C16" s="36" t="inlineStr">
        <is>
          <t>法的リスク</t>
        </is>
      </c>
      <c r="D16" s="36" t="inlineStr">
        <is>
          <t>高</t>
        </is>
      </c>
      <c r="E16" s="36" t="inlineStr">
        <is>
          <t>商談冒頭での録画通知運用、同意ログ機能を将来追加</t>
        </is>
      </c>
      <c r="F16" s="36" t="inlineStr">
        <is>
          <t>運用前</t>
        </is>
      </c>
    </row>
    <row r="17" ht="21.75" customHeight="1" s="28">
      <c r="A17" s="33" t="inlineStr">
        <is>
          <t>■ 未決事項(要決定)</t>
        </is>
      </c>
    </row>
    <row r="18" ht="27.75" customHeight="1" s="28">
      <c r="A18" s="37" t="inlineStr">
        <is>
          <t>ID</t>
        </is>
      </c>
      <c r="B18" s="34" t="inlineStr">
        <is>
          <t>事項</t>
        </is>
      </c>
      <c r="C18" s="34" t="inlineStr">
        <is>
          <t>暫定方針</t>
        </is>
      </c>
    </row>
    <row r="19" ht="15" customHeight="1" s="28">
      <c r="A19" s="35" t="inlineStr">
        <is>
          <t>O-01</t>
        </is>
      </c>
      <c r="B19" s="36" t="inlineStr">
        <is>
          <t>商談録画の話者識別方法</t>
        </is>
      </c>
      <c r="C19" s="35" t="inlineStr">
        <is>
          <t>Phase1ではAI推定+ユーザー確定。完全自動化は別途検討</t>
        </is>
      </c>
    </row>
    <row r="20" ht="15" customHeight="1" s="28">
      <c r="A20" s="35" t="inlineStr">
        <is>
          <t>O-02</t>
        </is>
      </c>
      <c r="B20" s="36" t="inlineStr">
        <is>
          <t>モバイル名刺撮影の自動切り抜き</t>
        </is>
      </c>
      <c r="C20" s="35" t="inlineStr">
        <is>
          <t>Phase1は手動矩形指定。OpenCV.js は別途検討</t>
        </is>
      </c>
    </row>
    <row r="21" ht="15" customHeight="1" s="28">
      <c r="A21" s="35" t="inlineStr">
        <is>
          <t>O-03</t>
        </is>
      </c>
      <c r="B21" s="36" t="inlineStr">
        <is>
          <t>営業の対顧客メールのアドレス</t>
        </is>
      </c>
      <c r="C21" s="36" t="inlineStr">
        <is>
          <t>会社Gmailから個別OAuth前提。共通アドレス対応はやらない</t>
        </is>
      </c>
    </row>
    <row r="22" ht="15" customHeight="1" s="28">
      <c r="A22" s="35" t="inlineStr">
        <is>
          <t>O-04</t>
        </is>
      </c>
      <c r="B22" s="36" t="inlineStr">
        <is>
          <t>録画の保持期間</t>
        </is>
      </c>
      <c r="C22" s="36" t="inlineStr">
        <is>
          <t>デフォルト無期限。法令対応で要再検討</t>
        </is>
      </c>
    </row>
    <row r="23" ht="15" customHeight="1" s="28">
      <c r="A23" s="35" t="inlineStr">
        <is>
          <t>O-05</t>
        </is>
      </c>
      <c r="B23" s="35" t="inlineStr">
        <is>
          <t>CSとの引き継ぎ承認フローの細かさ</t>
        </is>
      </c>
      <c r="C23" s="36" t="inlineStr">
        <is>
          <t>まずは「提出→承認」の2状態で開始</t>
        </is>
      </c>
    </row>
    <row r="24" ht="15" customHeight="1" s="28">
      <c r="A24" s="35" t="inlineStr">
        <is>
          <t>O-06</t>
        </is>
      </c>
      <c r="B24" s="36" t="inlineStr">
        <is>
          <t>音声ロープレのTTS音声選択</t>
        </is>
      </c>
      <c r="C24" s="35" t="inlineStr">
        <is>
          <t>OpenAI TTS で一旦実装。ElevenLabsはコスト次第</t>
        </is>
      </c>
    </row>
    <row r="25" ht="15" customHeight="1" s="28">
      <c r="A25" s="35" t="inlineStr">
        <is>
          <t>O-07</t>
        </is>
      </c>
      <c r="B25" s="36" t="inlineStr">
        <is>
          <t>通知の送付チャネル</t>
        </is>
      </c>
      <c r="C25" s="36" t="inlineStr">
        <is>
          <t>まずはアプリ内通知のみ。Slack連携は将来</t>
        </is>
      </c>
    </row>
    <row r="26" ht="15" customHeight="1" s="28">
      <c r="A26" s="35" t="inlineStr">
        <is>
          <t>O-08</t>
        </is>
      </c>
      <c r="B26" s="36" t="inlineStr">
        <is>
          <t>商談ステージのカスタマイズ</t>
        </is>
      </c>
      <c r="C26" s="36" t="inlineStr">
        <is>
          <t>固定列挙でスタート。組織別カスタムは将来</t>
        </is>
      </c>
    </row>
    <row r="27" ht="15" customHeight="1" s="28">
      <c r="A27" s="35" t="inlineStr">
        <is>
          <t>O-09</t>
        </is>
      </c>
      <c r="B27" s="36" t="inlineStr">
        <is>
          <t>他CRMとの連携</t>
        </is>
      </c>
      <c r="C27" s="36" t="inlineStr">
        <is>
          <t>当初なし。Salesforce連携は要望次第で別途</t>
        </is>
      </c>
    </row>
    <row r="28" ht="15" customHeight="1" s="28">
      <c r="A28" s="35" t="inlineStr">
        <is>
          <t>O-10</t>
        </is>
      </c>
      <c r="B28" s="36" t="inlineStr">
        <is>
          <t>マルチテナント対応</t>
        </is>
      </c>
      <c r="C28" s="36" t="inlineStr">
        <is>
          <t>当面シングルテナント(1社=1インスタンス)で運用</t>
        </is>
      </c>
    </row>
    <row r="29" ht="21.75" customHeight="1" s="28">
      <c r="A29" s="33" t="inlineStr">
        <is>
          <t>■ 設計判断ログ</t>
        </is>
      </c>
    </row>
    <row r="30" ht="27.75" customHeight="1" s="28">
      <c r="A30" s="37" t="inlineStr">
        <is>
          <t>ID</t>
        </is>
      </c>
      <c r="B30" s="34" t="inlineStr">
        <is>
          <t>判断</t>
        </is>
      </c>
      <c r="C30" s="34" t="inlineStr">
        <is>
          <t>理由</t>
        </is>
      </c>
    </row>
    <row r="31" ht="15" customHeight="1" s="28">
      <c r="A31" s="35" t="inlineStr">
        <is>
          <t>D-01</t>
        </is>
      </c>
      <c r="B31" s="35" t="inlineStr">
        <is>
          <t>YouTube非採用、R2採用</t>
        </is>
      </c>
      <c r="C31" s="36" t="inlineStr">
        <is>
          <t>セキュリティ&amp;クォータの観点。BtoB商談の動画はYouTubeに置けない</t>
        </is>
      </c>
    </row>
    <row r="32" ht="15" customHeight="1" s="28">
      <c r="A32" s="35" t="inlineStr">
        <is>
          <t>D-02</t>
        </is>
      </c>
      <c r="B32" s="35" t="inlineStr">
        <is>
          <t>Domain-wide Delegation不採用</t>
        </is>
      </c>
      <c r="C32" s="36" t="inlineStr">
        <is>
          <t>個別OAuthの方が権限境界が明確で退職処理が容易</t>
        </is>
      </c>
    </row>
    <row r="33" ht="15" customHeight="1" s="28">
      <c r="A33" s="35" t="inlineStr">
        <is>
          <t>D-03</t>
        </is>
      </c>
      <c r="B33" s="35" t="inlineStr">
        <is>
          <t>pgmq採用(Redis/SQS不採用)</t>
        </is>
      </c>
      <c r="C33" s="35" t="inlineStr">
        <is>
          <t>10名規模ではPostgresで完結する方が運用負荷が低い</t>
        </is>
      </c>
    </row>
    <row r="34" ht="15" customHeight="1" s="28">
      <c r="A34" s="35" t="inlineStr">
        <is>
          <t>D-04</t>
        </is>
      </c>
      <c r="B34" s="36" t="inlineStr">
        <is>
          <t>エンベディング: OpenAI採用</t>
        </is>
      </c>
      <c r="C34" s="36" t="inlineStr">
        <is>
          <t>安価かつ性能十分。Anthropic embeddingsは未提供</t>
        </is>
      </c>
    </row>
    <row r="35" ht="15" customHeight="1" s="28">
      <c r="A35" s="35" t="inlineStr">
        <is>
          <t>D-05</t>
        </is>
      </c>
      <c r="B35" s="35" t="inlineStr">
        <is>
          <t>Worker分離</t>
        </is>
      </c>
      <c r="C35" s="35" t="inlineStr">
        <is>
          <t>Webhook 3秒制約とLLM長時間処理の両立のため</t>
        </is>
      </c>
    </row>
    <row r="36" ht="15" customHeight="1" s="28">
      <c r="A36" s="35" t="inlineStr">
        <is>
          <t>D-06</t>
        </is>
      </c>
      <c r="B36" s="35" t="inlineStr">
        <is>
          <t>Drizzle採用</t>
        </is>
      </c>
      <c r="C36" s="35" t="inlineStr">
        <is>
          <t>Prismaより軽量、Supabase RLSと干渉しない</t>
        </is>
      </c>
    </row>
    <row r="37" ht="15" customHeight="1" s="28">
      <c r="A37" s="35" t="inlineStr">
        <is>
          <t>D-07</t>
        </is>
      </c>
      <c r="B37" s="36" t="inlineStr">
        <is>
          <t>抽出は必ず編集可能</t>
        </is>
      </c>
      <c r="C37" s="35" t="inlineStr">
        <is>
          <t>AI誤抽出をユーザーが直せないと「言った言わない」で逆に揉める</t>
        </is>
      </c>
    </row>
    <row r="38" ht="15" customHeight="1" s="28">
      <c r="A38" s="35" t="inlineStr">
        <is>
          <t>D-08</t>
        </is>
      </c>
      <c r="B38" s="36" t="inlineStr">
        <is>
          <t>メール送信は必ず確認画面</t>
        </is>
      </c>
      <c r="C38" s="36" t="inlineStr">
        <is>
          <t>誤送信リスクが大きすぎる</t>
        </is>
      </c>
    </row>
    <row r="39" ht="15" customHeight="1" s="28">
      <c r="A39" s="35" t="inlineStr">
        <is>
          <t>D-09</t>
        </is>
      </c>
      <c r="B39" s="35" t="inlineStr">
        <is>
          <t>BM25+ベクトルのハイブリッド検索</t>
        </is>
      </c>
      <c r="C39" s="36" t="inlineStr">
        <is>
          <t>ベクトルだけでは固有名詞検索に弱い</t>
        </is>
      </c>
    </row>
    <row r="40" ht="15" customHeight="1" s="28">
      <c r="A40" s="35" t="inlineStr">
        <is>
          <t>D-10</t>
        </is>
      </c>
      <c r="B40" s="36" t="inlineStr">
        <is>
          <t>モバイルはPWA、ネイティブアプリは作らない</t>
        </is>
      </c>
      <c r="C40" s="35" t="inlineStr">
        <is>
          <t>10名規模では費用対効果が合わない</t>
        </is>
      </c>
    </row>
    <row r="42">
      <c r="A42" s="41" t="inlineStr">
        <is>
          <t>■ 追加リスク・設計判断(v2)</t>
        </is>
      </c>
      <c r="B42" s="41" t="n"/>
      <c r="C42" s="41" t="n"/>
      <c r="D42" s="41" t="n"/>
      <c r="E42" s="41" t="n"/>
      <c r="F42" s="41" t="n"/>
    </row>
    <row r="43">
      <c r="A43" s="41" t="inlineStr">
        <is>
          <t>ID</t>
        </is>
      </c>
      <c r="B43" s="41" t="inlineStr">
        <is>
          <t>カテゴリ</t>
        </is>
      </c>
      <c r="C43" s="41" t="inlineStr">
        <is>
          <t>内容</t>
        </is>
      </c>
      <c r="D43" s="41" t="inlineStr">
        <is>
          <t>影響</t>
        </is>
      </c>
      <c r="E43" s="41" t="inlineStr">
        <is>
          <t>対策</t>
        </is>
      </c>
      <c r="F43" s="41" t="inlineStr">
        <is>
          <t>ステータス</t>
        </is>
      </c>
    </row>
    <row r="44">
      <c r="A44" s="41" t="inlineStr">
        <is>
          <t>RD-30</t>
        </is>
      </c>
      <c r="B44" s="41" t="inlineStr">
        <is>
          <t>現場UX</t>
        </is>
      </c>
      <c r="C44" s="41" t="inlineStr">
        <is>
          <t>暗所/反射でOCR失敗率↑</t>
        </is>
      </c>
      <c r="D44" s="41" t="inlineStr">
        <is>
          <t>受注遅延</t>
        </is>
      </c>
      <c r="E44" s="41" t="inlineStr">
        <is>
          <t>クライアントWASM補正+静止検出+確認UI</t>
        </is>
      </c>
      <c r="F44" s="41" t="inlineStr">
        <is>
          <t>採用</t>
        </is>
      </c>
    </row>
    <row r="45">
      <c r="A45" s="41" t="inlineStr">
        <is>
          <t>RD-31</t>
        </is>
      </c>
      <c r="B45" s="41" t="inlineStr">
        <is>
          <t>現場UX</t>
        </is>
      </c>
      <c r="C45" s="41" t="inlineStr">
        <is>
          <t>オフライン中のデータ喪失</t>
        </is>
      </c>
      <c r="D45" s="41" t="inlineStr">
        <is>
          <t>データロス</t>
        </is>
      </c>
      <c r="E45" s="41" t="inlineStr">
        <is>
          <t>IndexedDB+Service Worker+Idempotency</t>
        </is>
      </c>
      <c r="F45" s="41" t="inlineStr">
        <is>
          <t>採用</t>
        </is>
      </c>
    </row>
    <row r="46">
      <c r="A46" s="41" t="inlineStr">
        <is>
          <t>RD-32</t>
        </is>
      </c>
      <c r="B46" s="41" t="inlineStr">
        <is>
          <t>コンプラ</t>
        </is>
      </c>
      <c r="C46" s="41" t="inlineStr">
        <is>
          <t>録画同意の取り損ね</t>
        </is>
      </c>
      <c r="D46" s="41" t="inlineStr">
        <is>
          <t>法務</t>
        </is>
      </c>
      <c r="E46" s="41" t="inlineStr">
        <is>
          <t>冒頭自動アナウンス+不同意自動停止+ログ</t>
        </is>
      </c>
      <c r="F46" s="41" t="inlineStr">
        <is>
          <t>採用</t>
        </is>
      </c>
    </row>
    <row r="47">
      <c r="A47" s="41" t="inlineStr">
        <is>
          <t>RD-33</t>
        </is>
      </c>
      <c r="B47" s="41" t="inlineStr">
        <is>
          <t>コンプラ</t>
        </is>
      </c>
      <c r="C47" s="41" t="inlineStr">
        <is>
          <t>顧客発言削除依頼の対応遅延</t>
        </is>
      </c>
      <c r="D47" s="41" t="inlineStr">
        <is>
          <t>レピュテーション</t>
        </is>
      </c>
      <c r="E47" s="41" t="inlineStr">
        <is>
          <t>30日SLA+専用窓口+通知</t>
        </is>
      </c>
      <c r="F47" s="41" t="inlineStr">
        <is>
          <t>採用</t>
        </is>
      </c>
    </row>
    <row r="48">
      <c r="A48" s="41" t="inlineStr">
        <is>
          <t>RD-34</t>
        </is>
      </c>
      <c r="B48" s="41" t="inlineStr">
        <is>
          <t>コンプラ</t>
        </is>
      </c>
      <c r="C48" s="41" t="inlineStr">
        <is>
          <t>退職者発言の取り扱い</t>
        </is>
      </c>
      <c r="D48" s="41" t="inlineStr">
        <is>
          <t>法務</t>
        </is>
      </c>
      <c r="E48" s="41" t="inlineStr">
        <is>
          <t>retain/anonymize/delete選択+legal hold</t>
        </is>
      </c>
      <c r="F48" s="41" t="inlineStr">
        <is>
          <t>採用</t>
        </is>
      </c>
    </row>
    <row r="49">
      <c r="A49" s="41" t="inlineStr">
        <is>
          <t>RD-35</t>
        </is>
      </c>
      <c r="B49" s="41" t="inlineStr">
        <is>
          <t>セキュリティ</t>
        </is>
      </c>
      <c r="C49" s="41" t="inlineStr">
        <is>
          <t>admin大量削除事故</t>
        </is>
      </c>
      <c r="D49" s="41" t="inlineStr">
        <is>
          <t>データロス</t>
        </is>
      </c>
      <c r="E49" s="41" t="inlineStr">
        <is>
          <t>reason必須+MFA+PITR 7日</t>
        </is>
      </c>
      <c r="F49" s="41" t="inlineStr">
        <is>
          <t>採用</t>
        </is>
      </c>
    </row>
    <row r="50">
      <c r="A50" s="41" t="inlineStr">
        <is>
          <t>RD-36</t>
        </is>
      </c>
      <c r="B50" s="41" t="inlineStr">
        <is>
          <t>セキュリティ</t>
        </is>
      </c>
      <c r="C50" s="41" t="inlineStr">
        <is>
          <t>共有リンク悪用</t>
        </is>
      </c>
      <c r="D50" s="41" t="inlineStr">
        <is>
          <t>情報漏洩</t>
        </is>
      </c>
      <c r="E50" s="41" t="inlineStr">
        <is>
          <t>期限+IP制限+閲覧ログ+クリップ単位共有</t>
        </is>
      </c>
      <c r="F50" s="41" t="inlineStr">
        <is>
          <t>採用</t>
        </is>
      </c>
    </row>
    <row r="51">
      <c r="A51" s="41" t="inlineStr">
        <is>
          <t>RD-37</t>
        </is>
      </c>
      <c r="B51" s="41" t="inlineStr">
        <is>
          <t>運用</t>
        </is>
      </c>
      <c r="C51" s="41" t="inlineStr">
        <is>
          <t>返信パース誤分類</t>
        </is>
      </c>
      <c r="D51" s="41" t="inlineStr">
        <is>
          <t>ミスアポ</t>
        </is>
      </c>
      <c r="E51" s="41" t="inlineStr">
        <is>
          <t>低信頼度はpending+人手</t>
        </is>
      </c>
      <c r="F51" s="41" t="inlineStr">
        <is>
          <t>採用</t>
        </is>
      </c>
    </row>
    <row r="52">
      <c r="A52" s="41" t="inlineStr">
        <is>
          <t>RD-38</t>
        </is>
      </c>
      <c r="B52" s="41" t="inlineStr">
        <is>
          <t>運用</t>
        </is>
      </c>
      <c r="C52" s="41" t="inlineStr">
        <is>
          <t>別スレッド送信</t>
        </is>
      </c>
      <c r="D52" s="41" t="inlineStr">
        <is>
          <t>紐付けミス</t>
        </is>
      </c>
      <c r="E52" s="41" t="inlineStr">
        <is>
          <t>References+件名正規化+手動マージ</t>
        </is>
      </c>
      <c r="F52" s="41" t="inlineStr">
        <is>
          <t>採用</t>
        </is>
      </c>
    </row>
    <row r="53">
      <c r="A53" s="41" t="inlineStr">
        <is>
          <t>RD-39</t>
        </is>
      </c>
      <c r="B53" s="41" t="inlineStr">
        <is>
          <t>運用</t>
        </is>
      </c>
      <c r="C53" s="41" t="inlineStr">
        <is>
          <t>上司同席の合意なし</t>
        </is>
      </c>
      <c r="D53" s="41" t="inlineStr">
        <is>
          <t>対人トラブル</t>
        </is>
      </c>
      <c r="E53" s="41" t="inlineStr">
        <is>
          <t>invite→accept→登録の3段階</t>
        </is>
      </c>
      <c r="F53" s="41" t="inlineStr">
        <is>
          <t>採用</t>
        </is>
      </c>
    </row>
    <row r="54">
      <c r="A54" s="41" t="inlineStr">
        <is>
          <t>RD-40</t>
        </is>
      </c>
      <c r="B54" s="41" t="inlineStr">
        <is>
          <t>品質</t>
        </is>
      </c>
      <c r="C54" s="41" t="inlineStr">
        <is>
          <t>ハルシネーション</t>
        </is>
      </c>
      <c r="D54" s="41" t="inlineStr">
        <is>
          <t>誤情報伝達</t>
        </is>
      </c>
      <c r="E54" s="41" t="inlineStr">
        <is>
          <t>出典必須+no_answer許容</t>
        </is>
      </c>
      <c r="F54" s="41" t="inlineStr">
        <is>
          <t>採用</t>
        </is>
      </c>
    </row>
    <row r="55">
      <c r="A55" s="41" t="inlineStr">
        <is>
          <t>RD-41</t>
        </is>
      </c>
      <c r="B55" s="41" t="inlineStr">
        <is>
          <t>品質</t>
        </is>
      </c>
      <c r="C55" s="41" t="inlineStr">
        <is>
          <t>古い情報混入</t>
        </is>
      </c>
      <c r="D55" s="41" t="inlineStr">
        <is>
          <t>誤情報</t>
        </is>
      </c>
      <c r="E55" s="41" t="inlineStr">
        <is>
          <t>deprecated_at+検索除外</t>
        </is>
      </c>
      <c r="F55" s="41" t="inlineStr">
        <is>
          <t>採用</t>
        </is>
      </c>
    </row>
    <row r="56">
      <c r="A56" s="41" t="inlineStr">
        <is>
          <t>RD-42</t>
        </is>
      </c>
      <c r="B56" s="41" t="inlineStr">
        <is>
          <t>UX</t>
        </is>
      </c>
      <c r="C56" s="41" t="inlineStr">
        <is>
          <t>録画解析待ち時間</t>
        </is>
      </c>
      <c r="D56" s="41" t="inlineStr">
        <is>
          <t>利用率↓</t>
        </is>
      </c>
      <c r="E56" s="41" t="inlineStr">
        <is>
          <t>段階処理(transcript→preview→full)</t>
        </is>
      </c>
      <c r="F56" s="41" t="inlineStr">
        <is>
          <t>採用</t>
        </is>
      </c>
    </row>
    <row r="57">
      <c r="A57" s="41" t="inlineStr">
        <is>
          <t>RD-43</t>
        </is>
      </c>
      <c r="B57" s="41" t="inlineStr">
        <is>
          <t>UX</t>
        </is>
      </c>
      <c r="C57" s="41" t="inlineStr">
        <is>
          <t>顧客向け議事録漏洩リスク</t>
        </is>
      </c>
      <c r="D57" s="41" t="inlineStr">
        <is>
          <t>情報漏洩</t>
        </is>
      </c>
      <c r="E57" s="41" t="inlineStr">
        <is>
          <t>customer_facing_summaries(社内メモ抜き)</t>
        </is>
      </c>
      <c r="F57" s="41" t="inlineStr">
        <is>
          <t>採用</t>
        </is>
      </c>
    </row>
    <row r="58">
      <c r="A58" s="41" t="inlineStr">
        <is>
          <t>RD-44</t>
        </is>
      </c>
      <c r="B58" s="41" t="inlineStr">
        <is>
          <t>UX</t>
        </is>
      </c>
      <c r="C58" s="41" t="inlineStr">
        <is>
          <t>検索結果が多すぎ</t>
        </is>
      </c>
      <c r="D58" s="41" t="inlineStr">
        <is>
          <t>効率低下</t>
        </is>
      </c>
      <c r="E58" s="41" t="inlineStr">
        <is>
          <t>直近+関連+ランキング理由</t>
        </is>
      </c>
      <c r="F58" s="41" t="inlineStr">
        <is>
          <t>採用</t>
        </is>
      </c>
    </row>
    <row r="59">
      <c r="A59" s="41" t="inlineStr">
        <is>
          <t>RD-45</t>
        </is>
      </c>
      <c r="B59" s="41" t="inlineStr">
        <is>
          <t>インフラ</t>
        </is>
      </c>
      <c r="C59" s="41" t="inlineStr">
        <is>
          <t>データ保管地域の選好</t>
        </is>
      </c>
      <c r="D59" s="41" t="inlineStr">
        <is>
          <t>契約条件</t>
        </is>
      </c>
      <c r="E59" s="41" t="inlineStr">
        <is>
          <t>Supabase ap-northeast-1+R2 tokyo</t>
        </is>
      </c>
      <c r="F59" s="41" t="inlineStr">
        <is>
          <t>採用</t>
        </is>
      </c>
    </row>
    <row r="60">
      <c r="A60" s="41" t="inlineStr">
        <is>
          <t>RD-46</t>
        </is>
      </c>
      <c r="B60" s="41" t="inlineStr">
        <is>
          <t>インフラ</t>
        </is>
      </c>
      <c r="C60" s="41" t="inlineStr">
        <is>
          <t>2デバイス編集衝突</t>
        </is>
      </c>
      <c r="D60" s="41" t="inlineStr">
        <is>
          <t>データ整合性</t>
        </is>
      </c>
      <c r="E60" s="41" t="inlineStr">
        <is>
          <t>楽観ロック+衝突解決UI</t>
        </is>
      </c>
      <c r="F60" s="41" t="inlineStr">
        <is>
          <t>採用</t>
        </is>
      </c>
    </row>
    <row r="61">
      <c r="A61" s="41" t="inlineStr">
        <is>
          <t>RD-47</t>
        </is>
      </c>
      <c r="B61" s="41" t="inlineStr">
        <is>
          <t>インフラ</t>
        </is>
      </c>
      <c r="C61" s="41" t="inlineStr">
        <is>
          <t>プッシュ通知未対応(古OS)</t>
        </is>
      </c>
      <c r="D61" s="41" t="inlineStr">
        <is>
          <t>UX劣化</t>
        </is>
      </c>
      <c r="E61" s="41" t="inlineStr">
        <is>
          <t>Slack/Email fallback</t>
        </is>
      </c>
      <c r="F61" s="41" t="inlineStr">
        <is>
          <t>採用</t>
        </is>
      </c>
    </row>
    <row r="62">
      <c r="A62" s="41" t="inlineStr">
        <is>
          <t>RD-48</t>
        </is>
      </c>
      <c r="B62" s="41" t="inlineStr">
        <is>
          <t>運用</t>
        </is>
      </c>
      <c r="C62" s="41" t="inlineStr">
        <is>
          <t>代理メール乱用</t>
        </is>
      </c>
      <c r="D62" s="41" t="inlineStr">
        <is>
          <t>レピュテーション</t>
        </is>
      </c>
      <c r="E62" s="41" t="inlineStr">
        <is>
          <t>scope限定+audit</t>
        </is>
      </c>
      <c r="F62" s="41" t="inlineStr">
        <is>
          <t>採用</t>
        </is>
      </c>
    </row>
    <row r="63">
      <c r="A63" s="41" t="inlineStr">
        <is>
          <t>RD-49</t>
        </is>
      </c>
      <c r="B63" s="41" t="inlineStr">
        <is>
          <t>運用</t>
        </is>
      </c>
      <c r="C63" s="41" t="inlineStr">
        <is>
          <t>業務時間外提案</t>
        </is>
      </c>
      <c r="D63" s="41" t="inlineStr">
        <is>
          <t>現場圧迫</t>
        </is>
      </c>
      <c r="E63" s="41" t="inlineStr">
        <is>
          <t>work_hours強制</t>
        </is>
      </c>
      <c r="F63" s="41" t="inlineStr">
        <is>
          <t>採用</t>
        </is>
      </c>
    </row>
    <row r="64">
      <c r="A64" s="41" t="inlineStr">
        <is>
          <t>RD-50</t>
        </is>
      </c>
      <c r="B64" s="41" t="inlineStr">
        <is>
          <t>運用</t>
        </is>
      </c>
      <c r="C64" s="41" t="inlineStr">
        <is>
          <t>顧客TZ違い</t>
        </is>
      </c>
      <c r="D64" s="41" t="inlineStr">
        <is>
          <t>誤時刻</t>
        </is>
      </c>
      <c r="E64" s="41" t="inlineStr">
        <is>
          <t>both TZ表記+ICS Guest TZ</t>
        </is>
      </c>
      <c r="F64" s="41" t="inlineStr">
        <is>
          <t>採用</t>
        </is>
      </c>
    </row>
    <row r="65">
      <c r="A65" s="41" t="inlineStr">
        <is>
          <t>RD-51</t>
        </is>
      </c>
      <c r="B65" s="41" t="inlineStr">
        <is>
          <t>運用</t>
        </is>
      </c>
      <c r="C65" s="41" t="inlineStr">
        <is>
          <t>会議室欠落</t>
        </is>
      </c>
      <c r="D65" s="41" t="inlineStr">
        <is>
          <t>対面失敗</t>
        </is>
      </c>
      <c r="E65" s="41" t="inlineStr">
        <is>
          <t>resource API連動 or 警告</t>
        </is>
      </c>
      <c r="F65" s="41" t="inlineStr">
        <is>
          <t>採用</t>
        </is>
      </c>
    </row>
    <row r="66">
      <c r="A66" s="41" t="inlineStr">
        <is>
          <t>RD-52</t>
        </is>
      </c>
      <c r="B66" s="41" t="inlineStr">
        <is>
          <t>運用</t>
        </is>
      </c>
      <c r="C66" s="41" t="inlineStr">
        <is>
          <t>重複アプローチ</t>
        </is>
      </c>
      <c r="D66" s="41" t="inlineStr">
        <is>
          <t>信頼低下</t>
        </is>
      </c>
      <c r="E66" s="41" t="inlineStr">
        <is>
          <t>検出+警告</t>
        </is>
      </c>
      <c r="F66" s="41" t="inlineStr">
        <is>
          <t>採用</t>
        </is>
      </c>
    </row>
    <row r="67">
      <c r="A67" s="41" t="inlineStr">
        <is>
          <t>RD-53</t>
        </is>
      </c>
      <c r="B67" s="41" t="inlineStr">
        <is>
          <t>UX</t>
        </is>
      </c>
      <c r="C67" s="41" t="inlineStr">
        <is>
          <t>ロープレ単調</t>
        </is>
      </c>
      <c r="D67" s="41" t="inlineStr">
        <is>
          <t>学習効果↓</t>
        </is>
      </c>
      <c r="E67" s="41" t="inlineStr">
        <is>
          <t>variants+時間制限</t>
        </is>
      </c>
      <c r="F67" s="41" t="inlineStr">
        <is>
          <t>採用</t>
        </is>
      </c>
    </row>
    <row r="68">
      <c r="A68" s="41" t="inlineStr">
        <is>
          <t>RD-54</t>
        </is>
      </c>
      <c r="B68" s="41" t="inlineStr">
        <is>
          <t>UX</t>
        </is>
      </c>
      <c r="C68" s="41" t="inlineStr">
        <is>
          <t>個人スコア晒し</t>
        </is>
      </c>
      <c r="D68" s="41" t="inlineStr">
        <is>
          <t>士気</t>
        </is>
      </c>
      <c r="E68" s="41" t="inlineStr">
        <is>
          <t>集計のみ+本人合意</t>
        </is>
      </c>
      <c r="F68" s="41" t="inlineStr">
        <is>
          <t>採用</t>
        </is>
      </c>
    </row>
    <row r="69">
      <c r="A69" s="41" t="inlineStr">
        <is>
          <t>RD-55</t>
        </is>
      </c>
      <c r="B69" s="41" t="inlineStr">
        <is>
          <t>UX</t>
        </is>
      </c>
      <c r="C69" s="41" t="inlineStr">
        <is>
          <t>CSクレーム到達遅</t>
        </is>
      </c>
      <c r="D69" s="41" t="inlineStr">
        <is>
          <t>対応遅延</t>
        </is>
      </c>
      <c r="E69" s="41" t="inlineStr">
        <is>
          <t>30秒UX+曖昧時系列</t>
        </is>
      </c>
      <c r="F69" s="41" t="inlineStr">
        <is>
          <t>採用</t>
        </is>
      </c>
    </row>
    <row r="70">
      <c r="A70" s="41" t="inlineStr">
        <is>
          <t>RD-56</t>
        </is>
      </c>
      <c r="B70" s="41" t="inlineStr">
        <is>
          <t>UX</t>
        </is>
      </c>
      <c r="C70" s="41" t="inlineStr">
        <is>
          <t>引き継ぎズレ</t>
        </is>
      </c>
      <c r="D70" s="41" t="inlineStr">
        <is>
          <t>CS失敗</t>
        </is>
      </c>
      <c r="E70" s="41" t="inlineStr">
        <is>
          <t>alignment_report</t>
        </is>
      </c>
      <c r="F70" s="41" t="inlineStr">
        <is>
          <t>採用</t>
        </is>
      </c>
    </row>
    <row r="71">
      <c r="A71" s="41" t="inlineStr">
        <is>
          <t>RD-57</t>
        </is>
      </c>
      <c r="B71" s="41" t="inlineStr">
        <is>
          <t>運用</t>
        </is>
      </c>
      <c r="C71" s="41" t="inlineStr">
        <is>
          <t>契約更新失念</t>
        </is>
      </c>
      <c r="D71" s="41" t="inlineStr">
        <is>
          <t>解約</t>
        </is>
      </c>
      <c r="E71" s="41" t="inlineStr">
        <is>
          <t>3ヶ月前/1ヶ月前アラート</t>
        </is>
      </c>
      <c r="F71" s="41" t="inlineStr">
        <is>
          <t>採用</t>
        </is>
      </c>
    </row>
    <row r="72">
      <c r="A72" s="41" t="inlineStr">
        <is>
          <t>RD-58</t>
        </is>
      </c>
      <c r="B72" s="41" t="inlineStr">
        <is>
          <t>運用</t>
        </is>
      </c>
      <c r="C72" s="41" t="inlineStr">
        <is>
          <t>アップセル機会逸失</t>
        </is>
      </c>
      <c r="D72" s="41" t="inlineStr">
        <is>
          <t>収益機会損失</t>
        </is>
      </c>
      <c r="E72" s="41" t="inlineStr">
        <is>
          <t>CS会話シグナル検出</t>
        </is>
      </c>
      <c r="F72" s="41" t="inlineStr">
        <is>
          <t>採用</t>
        </is>
      </c>
    </row>
    <row r="73">
      <c r="A73" s="41" t="inlineStr">
        <is>
          <t>RD-59</t>
        </is>
      </c>
      <c r="B73" s="41" t="inlineStr">
        <is>
          <t>UX</t>
        </is>
      </c>
      <c r="C73" s="41" t="inlineStr">
        <is>
          <t>誤送信</t>
        </is>
      </c>
      <c r="D73" s="41" t="inlineStr">
        <is>
          <t>関係悪化</t>
        </is>
      </c>
      <c r="E73" s="41" t="inlineStr">
        <is>
          <t>30秒undo+訂正テンプレ</t>
        </is>
      </c>
      <c r="F73" s="41" t="inlineStr">
        <is>
          <t>採用</t>
        </is>
      </c>
    </row>
    <row r="74">
      <c r="A74" s="41" t="inlineStr">
        <is>
          <t>RD-60</t>
        </is>
      </c>
      <c r="B74" s="41" t="inlineStr">
        <is>
          <t>UX</t>
        </is>
      </c>
      <c r="C74" s="41" t="inlineStr">
        <is>
          <t>誤削除</t>
        </is>
      </c>
      <c r="D74" s="41" t="inlineStr">
        <is>
          <t>データロス</t>
        </is>
      </c>
      <c r="E74" s="41" t="inlineStr">
        <is>
          <t>soft delete+復旧UI</t>
        </is>
      </c>
      <c r="F74" s="41" t="inlineStr">
        <is>
          <t>採用</t>
        </is>
      </c>
    </row>
    <row r="75">
      <c r="A75" s="41" t="inlineStr">
        <is>
          <t>RD-61</t>
        </is>
      </c>
      <c r="B75" s="41" t="inlineStr">
        <is>
          <t>UX</t>
        </is>
      </c>
      <c r="C75" s="41" t="inlineStr">
        <is>
          <t>AI抽出が壊れた</t>
        </is>
      </c>
      <c r="D75" s="41" t="inlineStr">
        <is>
          <t>作業崩壊</t>
        </is>
      </c>
      <c r="E75" s="41" t="inlineStr">
        <is>
          <t>reprocess全やり直しボタン</t>
        </is>
      </c>
      <c r="F75" s="41" t="inlineStr">
        <is>
          <t>採用</t>
        </is>
      </c>
    </row>
    <row r="76">
      <c r="A76" s="41" t="inlineStr">
        <is>
          <t>RD-62</t>
        </is>
      </c>
      <c r="B76" s="41" t="inlineStr">
        <is>
          <t>運用</t>
        </is>
      </c>
      <c r="C76" s="41" t="inlineStr">
        <is>
          <t>同期失敗が見えない</t>
        </is>
      </c>
      <c r="D76" s="41" t="inlineStr">
        <is>
          <t>誤運用</t>
        </is>
      </c>
      <c r="E76" s="41" t="inlineStr">
        <is>
          <t>バッジ+詳細リトライ</t>
        </is>
      </c>
      <c r="F76" s="41" t="inlineStr">
        <is>
          <t>採用</t>
        </is>
      </c>
    </row>
    <row r="77">
      <c r="A77" s="41" t="inlineStr">
        <is>
          <t>RD-63</t>
        </is>
      </c>
      <c r="B77" s="41" t="inlineStr">
        <is>
          <t>運用</t>
        </is>
      </c>
      <c r="C77" s="41" t="inlineStr">
        <is>
          <t>403で詰む</t>
        </is>
      </c>
      <c r="D77" s="41" t="inlineStr">
        <is>
          <t>作業中断</t>
        </is>
      </c>
      <c r="E77" s="41" t="inlineStr">
        <is>
          <t>エラーではなく申請動線</t>
        </is>
      </c>
      <c r="F77" s="41" t="inlineStr">
        <is>
          <t>採用</t>
        </is>
      </c>
    </row>
    <row r="78">
      <c r="A78" s="41" t="inlineStr">
        <is>
          <t>RD-64</t>
        </is>
      </c>
      <c r="B78" s="41" t="inlineStr">
        <is>
          <t>運用</t>
        </is>
      </c>
      <c r="C78" s="41" t="inlineStr">
        <is>
          <t>モバイル断線</t>
        </is>
      </c>
      <c r="D78" s="41" t="inlineStr">
        <is>
          <t>入力ロス</t>
        </is>
      </c>
      <c r="E78" s="41" t="inlineStr">
        <is>
          <t>autosave+復元</t>
        </is>
      </c>
      <c r="F78" s="41" t="inlineStr">
        <is>
          <t>採用</t>
        </is>
      </c>
    </row>
    <row r="79">
      <c r="A79" s="41" t="inlineStr">
        <is>
          <t>RD-65</t>
        </is>
      </c>
      <c r="B79" s="41" t="inlineStr">
        <is>
          <t>品質</t>
        </is>
      </c>
      <c r="C79" s="41" t="inlineStr">
        <is>
          <t>状態機械の暗黙</t>
        </is>
      </c>
      <c r="D79" s="41" t="inlineStr">
        <is>
          <t>保守性低下</t>
        </is>
      </c>
      <c r="E79" s="41" t="inlineStr">
        <is>
          <t>14_state_machinesシート</t>
        </is>
      </c>
      <c r="F79" s="41" t="inlineStr">
        <is>
          <t>採用</t>
        </is>
      </c>
    </row>
    <row r="80">
      <c r="A80" s="41" t="inlineStr">
        <is>
          <t>RD-66</t>
        </is>
      </c>
      <c r="B80" s="41" t="inlineStr">
        <is>
          <t>UX</t>
        </is>
      </c>
      <c r="C80" s="41" t="inlineStr">
        <is>
          <t>新規組織初日</t>
        </is>
      </c>
      <c r="D80" s="41" t="inlineStr">
        <is>
          <t>定着失敗</t>
        </is>
      </c>
      <c r="E80" s="41" t="inlineStr">
        <is>
          <t>sample data+guided tour</t>
        </is>
      </c>
      <c r="F80" s="41" t="inlineStr">
        <is>
          <t>採用</t>
        </is>
      </c>
    </row>
    <row r="81">
      <c r="A81" s="41" t="inlineStr">
        <is>
          <t>RD-67</t>
        </is>
      </c>
      <c r="B81" s="41" t="inlineStr">
        <is>
          <t>UX</t>
        </is>
      </c>
      <c r="C81" s="41" t="inlineStr">
        <is>
          <t>レガシー名刺移行コスト</t>
        </is>
      </c>
      <c r="D81" s="41" t="inlineStr">
        <is>
          <t>乗換阻害</t>
        </is>
      </c>
      <c r="E81" s="41" t="inlineStr">
        <is>
          <t>CSV/Sansan/Eight import</t>
        </is>
      </c>
      <c r="F81" s="41" t="inlineStr">
        <is>
          <t>採用</t>
        </is>
      </c>
    </row>
    <row r="82">
      <c r="A82" s="41" t="inlineStr">
        <is>
          <t>RD-68</t>
        </is>
      </c>
      <c r="B82" s="41" t="inlineStr">
        <is>
          <t>UX</t>
        </is>
      </c>
      <c r="C82" s="41" t="inlineStr">
        <is>
          <t>過去Zoom録画移行</t>
        </is>
      </c>
      <c r="D82" s="41" t="inlineStr">
        <is>
          <t>ナレッジ不足</t>
        </is>
      </c>
      <c r="E82" s="41" t="inlineStr">
        <is>
          <t>historical import</t>
        </is>
      </c>
      <c r="F82" s="41" t="inlineStr">
        <is>
          <t>採用</t>
        </is>
      </c>
    </row>
    <row r="83">
      <c r="A83" s="41" t="inlineStr">
        <is>
          <t>RD-69</t>
        </is>
      </c>
      <c r="B83" s="41" t="inlineStr">
        <is>
          <t>UX</t>
        </is>
      </c>
      <c r="C83" s="41" t="inlineStr">
        <is>
          <t>新人迷子</t>
        </is>
      </c>
      <c r="D83" s="41" t="inlineStr">
        <is>
          <t>定着失敗</t>
        </is>
      </c>
      <c r="E83" s="41" t="inlineStr">
        <is>
          <t>onboarding_recommendations</t>
        </is>
      </c>
      <c r="F83" s="41" t="inlineStr">
        <is>
          <t>採用</t>
        </is>
      </c>
    </row>
    <row r="84">
      <c r="A84" s="41" t="inlineStr">
        <is>
          <t>RD-70</t>
        </is>
      </c>
      <c r="B84" s="41" t="inlineStr">
        <is>
          <t>パフォーマンス</t>
        </is>
      </c>
      <c r="C84" s="41" t="inlineStr">
        <is>
          <t>検索ハイブリッド重い</t>
        </is>
      </c>
      <c r="D84" s="41" t="inlineStr">
        <is>
          <t>レイテンシ↑</t>
        </is>
      </c>
      <c r="E84" s="41" t="inlineStr">
        <is>
          <t>BM25 prefilter→vector rerank</t>
        </is>
      </c>
      <c r="F84" s="41" t="inlineStr">
        <is>
          <t>採用</t>
        </is>
      </c>
    </row>
    <row r="85">
      <c r="A85" s="41" t="inlineStr">
        <is>
          <t>RD-71</t>
        </is>
      </c>
      <c r="B85" s="41" t="inlineStr">
        <is>
          <t>品質</t>
        </is>
      </c>
      <c r="C85" s="41" t="inlineStr">
        <is>
          <t>ハルシネーションテスト難</t>
        </is>
      </c>
      <c r="D85" s="41" t="inlineStr">
        <is>
          <t>誤情報</t>
        </is>
      </c>
      <c r="E85" s="41" t="inlineStr">
        <is>
          <t>golden set+回帰テスト</t>
        </is>
      </c>
      <c r="F85" s="41" t="inlineStr">
        <is>
          <t>採用</t>
        </is>
      </c>
    </row>
    <row r="86">
      <c r="A86" s="41" t="inlineStr">
        <is>
          <t>RD-72</t>
        </is>
      </c>
      <c r="B86" s="41" t="inlineStr">
        <is>
          <t>運用</t>
        </is>
      </c>
      <c r="C86" s="41" t="inlineStr">
        <is>
          <t>feature flag事故</t>
        </is>
      </c>
      <c r="D86" s="41" t="inlineStr">
        <is>
          <t>全社停止</t>
        </is>
      </c>
      <c r="E86" s="41" t="inlineStr">
        <is>
          <t>kill switch+rollback</t>
        </is>
      </c>
      <c r="F86" s="41" t="inlineStr">
        <is>
          <t>採用</t>
        </is>
      </c>
    </row>
    <row r="87">
      <c r="A87" s="41" t="inlineStr">
        <is>
          <t>RD-73</t>
        </is>
      </c>
      <c r="B87" s="41" t="inlineStr">
        <is>
          <t>運用</t>
        </is>
      </c>
      <c r="C87" s="41" t="inlineStr">
        <is>
          <t>A/Bテスト誤運用</t>
        </is>
      </c>
      <c r="D87" s="41" t="inlineStr">
        <is>
          <t>誤指標</t>
        </is>
      </c>
      <c r="E87" s="41" t="inlineStr">
        <is>
          <t>事前停止条件+SRM check</t>
        </is>
      </c>
      <c r="F87" s="41" t="inlineStr">
        <is>
          <t>採用</t>
        </is>
      </c>
    </row>
    <row r="88">
      <c r="A88" s="41" t="inlineStr">
        <is>
          <t>RD-74</t>
        </is>
      </c>
      <c r="B88" s="41" t="inlineStr">
        <is>
          <t>UX</t>
        </is>
      </c>
      <c r="C88" s="41" t="inlineStr">
        <is>
          <t>音声メモ品質</t>
        </is>
      </c>
      <c r="D88" s="41" t="inlineStr">
        <is>
          <t>紐付けミス</t>
        </is>
      </c>
      <c r="E88" s="41" t="inlineStr">
        <is>
          <t>best_match候補3つ+確認</t>
        </is>
      </c>
      <c r="F88" s="41" t="inlineStr">
        <is>
          <t>採用</t>
        </is>
      </c>
    </row>
    <row r="89">
      <c r="A89" s="41" t="inlineStr">
        <is>
          <t>RD-75</t>
        </is>
      </c>
      <c r="B89" s="41" t="inlineStr">
        <is>
          <t>運用</t>
        </is>
      </c>
      <c r="C89" s="41" t="inlineStr">
        <is>
          <t>退職者OAuth残</t>
        </is>
      </c>
      <c r="D89" s="41" t="inlineStr">
        <is>
          <t>セキュリティ</t>
        </is>
      </c>
      <c r="E89" s="41" t="inlineStr">
        <is>
          <t>退職時即削除job</t>
        </is>
      </c>
      <c r="F89" s="41" t="inlineStr">
        <is>
          <t>採用</t>
        </is>
      </c>
    </row>
    <row r="90">
      <c r="A90" s="41" t="inlineStr">
        <is>
          <t>RD-76</t>
        </is>
      </c>
      <c r="B90" s="41" t="inlineStr">
        <is>
          <t>UX</t>
        </is>
      </c>
      <c r="C90" s="41" t="inlineStr">
        <is>
          <t>片手UI不徹底</t>
        </is>
      </c>
      <c r="D90" s="41" t="inlineStr">
        <is>
          <t>モバイル離脱</t>
        </is>
      </c>
      <c r="E90" s="41" t="inlineStr">
        <is>
          <t>bottom_action_bar標準</t>
        </is>
      </c>
      <c r="F90" s="41" t="inlineStr">
        <is>
          <t>採用</t>
        </is>
      </c>
    </row>
    <row r="91">
      <c r="A91" s="41" t="inlineStr">
        <is>
          <t>RD-77</t>
        </is>
      </c>
      <c r="B91" s="41" t="inlineStr">
        <is>
          <t>運用</t>
        </is>
      </c>
      <c r="C91" s="41" t="inlineStr">
        <is>
          <t>i18n後送り</t>
        </is>
      </c>
      <c r="D91" s="41" t="inlineStr">
        <is>
          <t>海外顧客困</t>
        </is>
      </c>
      <c r="E91" s="41" t="inlineStr">
        <is>
          <t>share/[token]だけ先行</t>
        </is>
      </c>
      <c r="F91" s="41" t="inlineStr">
        <is>
          <t>採用</t>
        </is>
      </c>
    </row>
    <row r="92">
      <c r="A92" s="41" t="inlineStr">
        <is>
          <t>RD-78</t>
        </is>
      </c>
      <c r="B92" s="41" t="inlineStr">
        <is>
          <t>UX</t>
        </is>
      </c>
      <c r="C92" s="41" t="inlineStr">
        <is>
          <t>a11y未達</t>
        </is>
      </c>
      <c r="D92" s="41" t="inlineStr">
        <is>
          <t>利用不能</t>
        </is>
      </c>
      <c r="E92" s="41" t="inlineStr">
        <is>
          <t>WCAG AA+axe CI</t>
        </is>
      </c>
      <c r="F92" s="41" t="inlineStr">
        <is>
          <t>採用</t>
        </is>
      </c>
    </row>
    <row r="93">
      <c r="A93" s="41" t="inlineStr">
        <is>
          <t>RD-79</t>
        </is>
      </c>
      <c r="B93" s="41" t="inlineStr">
        <is>
          <t>運用</t>
        </is>
      </c>
      <c r="C93" s="41" t="inlineStr">
        <is>
          <t>push通知不達</t>
        </is>
      </c>
      <c r="D93" s="41" t="inlineStr">
        <is>
          <t>UX劣化</t>
        </is>
      </c>
      <c r="E93" s="41" t="inlineStr">
        <is>
          <t>email fallback+通知設定</t>
        </is>
      </c>
      <c r="F93" s="41" t="inlineStr">
        <is>
          <t>採用</t>
        </is>
      </c>
    </row>
    <row r="94">
      <c r="A94" s="41" t="inlineStr">
        <is>
          <t>RD-80</t>
        </is>
      </c>
      <c r="B94" s="41" t="inlineStr">
        <is>
          <t>運用</t>
        </is>
      </c>
      <c r="C94" s="41" t="inlineStr">
        <is>
          <t>Realtime接続切れ</t>
        </is>
      </c>
      <c r="D94" s="41" t="inlineStr">
        <is>
          <t>同期遅延</t>
        </is>
      </c>
      <c r="E94" s="41" t="inlineStr">
        <is>
          <t>reconnect+presence表示</t>
        </is>
      </c>
      <c r="F94" s="41" t="inlineStr">
        <is>
          <t>採用</t>
        </is>
      </c>
    </row>
    <row r="95">
      <c r="A95" s="41" t="inlineStr">
        <is>
          <t>RD-81</t>
        </is>
      </c>
      <c r="B95" s="41" t="inlineStr">
        <is>
          <t>運用</t>
        </is>
      </c>
      <c r="C95" s="41" t="inlineStr">
        <is>
          <t>バックアップ未確認</t>
        </is>
      </c>
      <c r="D95" s="41" t="inlineStr">
        <is>
          <t>事故時不能</t>
        </is>
      </c>
      <c r="E95" s="41" t="inlineStr">
        <is>
          <t>admin/backup ダッシュボード</t>
        </is>
      </c>
      <c r="F95" s="41" t="inlineStr">
        <is>
          <t>採用</t>
        </is>
      </c>
    </row>
    <row r="96">
      <c r="A96" s="41" t="inlineStr">
        <is>
          <t>RD-82</t>
        </is>
      </c>
      <c r="B96" s="41" t="inlineStr">
        <is>
          <t>運用</t>
        </is>
      </c>
      <c r="C96" s="41" t="inlineStr">
        <is>
          <t>エクスポート要望</t>
        </is>
      </c>
      <c r="D96" s="41" t="inlineStr">
        <is>
          <t>コスト超過</t>
        </is>
      </c>
      <c r="E96" s="41" t="inlineStr">
        <is>
          <t>頻度制限+暗号化zip</t>
        </is>
      </c>
      <c r="F96" s="41" t="inlineStr">
        <is>
          <t>採用</t>
        </is>
      </c>
    </row>
    <row r="97">
      <c r="A97" s="41" t="inlineStr">
        <is>
          <t>RD-83</t>
        </is>
      </c>
      <c r="B97" s="41" t="inlineStr">
        <is>
          <t>運用</t>
        </is>
      </c>
      <c r="C97" s="41" t="inlineStr">
        <is>
          <t>観測性不足</t>
        </is>
      </c>
      <c r="D97" s="41" t="inlineStr">
        <is>
          <t>障害長期化</t>
        </is>
      </c>
      <c r="E97" s="41" t="inlineStr">
        <is>
          <t>23_observability_alertsシート</t>
        </is>
      </c>
      <c r="F97" s="41" t="inlineStr">
        <is>
          <t>採用</t>
        </is>
      </c>
    </row>
    <row r="98">
      <c r="A98" s="41" t="inlineStr">
        <is>
          <t>RD-84</t>
        </is>
      </c>
      <c r="B98" s="41" t="inlineStr">
        <is>
          <t>運用</t>
        </is>
      </c>
      <c r="C98" s="41" t="inlineStr">
        <is>
          <t>受け入れテスト不足</t>
        </is>
      </c>
      <c r="D98" s="41" t="inlineStr">
        <is>
          <t>出戻り</t>
        </is>
      </c>
      <c r="E98" s="41" t="inlineStr">
        <is>
          <t>24_acceptance_test_matrix</t>
        </is>
      </c>
      <c r="F98" s="41" t="inlineStr">
        <is>
          <t>採用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18" customWidth="1" style="28" min="2" max="2"/>
    <col width="18" customWidth="1" style="28" min="3" max="3"/>
    <col width="30" customWidth="1" style="28" min="4" max="4"/>
    <col width="35" customWidth="1" style="28" min="5" max="5"/>
    <col width="6" customWidth="1" style="28" min="6" max="6"/>
  </cols>
  <sheetData>
    <row r="1">
      <c r="A1" s="56" t="inlineStr">
        <is>
          <t>状態機械の可視化</t>
        </is>
      </c>
    </row>
    <row r="2">
      <c r="A2" s="57" t="inlineStr">
        <is>
          <t>商談・調整・録画・ロープレ・引き継ぎ・録画同意の状態遷移を明文化(実装と乖離検知の基準)</t>
        </is>
      </c>
    </row>
    <row r="4">
      <c r="A4" s="58" t="inlineStr">
        <is>
          <t>対象</t>
        </is>
      </c>
      <c r="B4" s="58" t="inlineStr">
        <is>
          <t>状態</t>
        </is>
      </c>
      <c r="C4" s="58" t="inlineStr">
        <is>
          <t>遷移先</t>
        </is>
      </c>
      <c r="D4" s="58" t="inlineStr">
        <is>
          <t>条件/イベント</t>
        </is>
      </c>
      <c r="E4" s="58" t="inlineStr">
        <is>
          <t>副作用</t>
        </is>
      </c>
      <c r="F4" s="58" t="inlineStr">
        <is>
          <t>Phase</t>
        </is>
      </c>
    </row>
    <row r="5">
      <c r="A5" s="59" t="inlineStr">
        <is>
          <t>scheduling_proposal</t>
        </is>
      </c>
      <c r="B5" s="59" t="inlineStr">
        <is>
          <t>initial</t>
        </is>
      </c>
      <c r="C5" s="59" t="inlineStr">
        <is>
          <t>proposed</t>
        </is>
      </c>
      <c r="D5" s="59" t="inlineStr">
        <is>
          <t>営業がドラフト送信</t>
        </is>
      </c>
      <c r="E5" s="59" t="inlineStr">
        <is>
          <t>Gmail送信+calendar_holds作成</t>
        </is>
      </c>
      <c r="F5" s="59" t="inlineStr">
        <is>
          <t>P2</t>
        </is>
      </c>
    </row>
    <row r="6">
      <c r="A6" s="59" t="inlineStr">
        <is>
          <t>scheduling_proposal</t>
        </is>
      </c>
      <c r="B6" s="59" t="inlineStr">
        <is>
          <t>proposed</t>
        </is>
      </c>
      <c r="C6" s="59" t="inlineStr">
        <is>
          <t>awaiting_reply</t>
        </is>
      </c>
      <c r="D6" s="59" t="inlineStr">
        <is>
          <t>送信完了</t>
        </is>
      </c>
      <c r="E6" s="59" t="inlineStr">
        <is>
          <t>返信パースwatch</t>
        </is>
      </c>
      <c r="F6" s="59" t="inlineStr">
        <is>
          <t>P2</t>
        </is>
      </c>
    </row>
    <row r="7">
      <c r="A7" s="59" t="inlineStr">
        <is>
          <t>scheduling_proposal</t>
        </is>
      </c>
      <c r="B7" s="59" t="inlineStr">
        <is>
          <t>awaiting_reply</t>
        </is>
      </c>
      <c r="C7" s="59" t="inlineStr">
        <is>
          <t>confirmed</t>
        </is>
      </c>
      <c r="D7" s="59" t="inlineStr">
        <is>
          <t>accept意図検出+1候補で確定</t>
        </is>
      </c>
      <c r="E7" s="59" t="inlineStr">
        <is>
          <t>Calendar+Zoom作成,他holds解放</t>
        </is>
      </c>
      <c r="F7" s="59" t="inlineStr">
        <is>
          <t>P2</t>
        </is>
      </c>
    </row>
    <row r="8">
      <c r="A8" s="59" t="inlineStr">
        <is>
          <t>scheduling_proposal</t>
        </is>
      </c>
      <c r="B8" s="59" t="inlineStr">
        <is>
          <t>awaiting_reply</t>
        </is>
      </c>
      <c r="C8" s="59" t="inlineStr">
        <is>
          <t>needs_human</t>
        </is>
      </c>
      <c r="D8" s="59" t="inlineStr">
        <is>
          <t>低信頼度/曖昧</t>
        </is>
      </c>
      <c r="E8" s="59" t="inlineStr">
        <is>
          <t>SC-14 inboxに表示</t>
        </is>
      </c>
      <c r="F8" s="59" t="inlineStr">
        <is>
          <t>P2</t>
        </is>
      </c>
    </row>
    <row r="9">
      <c r="A9" s="59" t="inlineStr">
        <is>
          <t>scheduling_proposal</t>
        </is>
      </c>
      <c r="B9" s="59" t="inlineStr">
        <is>
          <t>awaiting_reply</t>
        </is>
      </c>
      <c r="C9" s="59" t="inlineStr">
        <is>
          <t>redraft</t>
        </is>
      </c>
      <c r="D9" s="59" t="inlineStr">
        <is>
          <t>all_no_propose検出</t>
        </is>
      </c>
      <c r="E9" s="59" t="inlineStr">
        <is>
          <t>LP-14で再ドラフト</t>
        </is>
      </c>
      <c r="F9" s="59" t="inlineStr">
        <is>
          <t>P2</t>
        </is>
      </c>
    </row>
    <row r="10">
      <c r="A10" s="59" t="inlineStr">
        <is>
          <t>scheduling_proposal</t>
        </is>
      </c>
      <c r="B10" s="59" t="inlineStr">
        <is>
          <t>awaiting_reply</t>
        </is>
      </c>
      <c r="C10" s="59" t="inlineStr">
        <is>
          <t>reschedule</t>
        </is>
      </c>
      <c r="D10" s="59" t="inlineStr">
        <is>
          <t>reschedule検出(既存予定あり)</t>
        </is>
      </c>
      <c r="E10" s="59" t="inlineStr">
        <is>
          <t>既存meeting更新</t>
        </is>
      </c>
      <c r="F10" s="59" t="inlineStr">
        <is>
          <t>P2</t>
        </is>
      </c>
    </row>
    <row r="11">
      <c r="A11" s="59" t="inlineStr">
        <is>
          <t>scheduling_proposal</t>
        </is>
      </c>
      <c r="B11" s="59" t="inlineStr">
        <is>
          <t>confirmed</t>
        </is>
      </c>
      <c r="C11" s="59" t="inlineStr">
        <is>
          <t>rescheduled</t>
        </is>
      </c>
      <c r="D11" s="59" t="inlineStr">
        <is>
          <t>リスケ要望</t>
        </is>
      </c>
      <c r="E11" s="59" t="inlineStr">
        <is>
          <t>新候補メール送信</t>
        </is>
      </c>
      <c r="F11" s="59" t="inlineStr">
        <is>
          <t>P2</t>
        </is>
      </c>
    </row>
    <row r="12">
      <c r="A12" s="59" t="inlineStr">
        <is>
          <t>scheduling_proposal</t>
        </is>
      </c>
      <c r="B12" s="59" t="inlineStr">
        <is>
          <t>any</t>
        </is>
      </c>
      <c r="C12" s="59" t="inlineStr">
        <is>
          <t>cancelled</t>
        </is>
      </c>
      <c r="D12" s="59" t="inlineStr">
        <is>
          <t>営業キャンセル/顧客辞退</t>
        </is>
      </c>
      <c r="E12" s="59" t="inlineStr">
        <is>
          <t>calendar/zoom削除+holds解放</t>
        </is>
      </c>
      <c r="F12" s="59" t="inlineStr">
        <is>
          <t>P2</t>
        </is>
      </c>
    </row>
    <row r="13">
      <c r="A13" s="59" t="inlineStr">
        <is>
          <t>scheduling_proposal</t>
        </is>
      </c>
      <c r="B13" s="59" t="inlineStr">
        <is>
          <t>awaiting_reply</t>
        </is>
      </c>
      <c r="C13" s="59" t="inlineStr">
        <is>
          <t>timed_out</t>
        </is>
      </c>
      <c r="D13" s="59" t="inlineStr">
        <is>
          <t>48h無返信</t>
        </is>
      </c>
      <c r="E13" s="59" t="inlineStr">
        <is>
          <t>リマインド送信→holds解放</t>
        </is>
      </c>
      <c r="F13" s="59" t="inlineStr">
        <is>
          <t>P2</t>
        </is>
      </c>
    </row>
    <row r="14">
      <c r="A14" s="59" t="inlineStr">
        <is>
          <t>meeting</t>
        </is>
      </c>
      <c r="B14" s="59" t="inlineStr">
        <is>
          <t>scheduled</t>
        </is>
      </c>
      <c r="C14" s="59" t="inlineStr">
        <is>
          <t>in_progress</t>
        </is>
      </c>
      <c r="D14" s="59" t="inlineStr">
        <is>
          <t>Zoom開始</t>
        </is>
      </c>
      <c r="E14" s="59" t="inlineStr">
        <is>
          <t>録画自動開始要求</t>
        </is>
      </c>
      <c r="F14" s="59" t="inlineStr">
        <is>
          <t>P1</t>
        </is>
      </c>
    </row>
    <row r="15">
      <c r="A15" s="59" t="inlineStr">
        <is>
          <t>meeting</t>
        </is>
      </c>
      <c r="B15" s="59" t="inlineStr">
        <is>
          <t>in_progress</t>
        </is>
      </c>
      <c r="C15" s="59" t="inlineStr">
        <is>
          <t>ended</t>
        </is>
      </c>
      <c r="D15" s="59" t="inlineStr">
        <is>
          <t>Zoom終了</t>
        </is>
      </c>
      <c r="E15" s="59" t="inlineStr">
        <is>
          <t>stage1キュー</t>
        </is>
      </c>
      <c r="F15" s="59" t="inlineStr">
        <is>
          <t>P1</t>
        </is>
      </c>
    </row>
    <row r="16">
      <c r="A16" s="59" t="inlineStr">
        <is>
          <t>meeting</t>
        </is>
      </c>
      <c r="B16" s="59" t="inlineStr">
        <is>
          <t>scheduled</t>
        </is>
      </c>
      <c r="C16" s="59" t="inlineStr">
        <is>
          <t>cancelled</t>
        </is>
      </c>
      <c r="D16" s="59" t="inlineStr">
        <is>
          <t>キャンセル</t>
        </is>
      </c>
      <c r="E16" s="59" t="inlineStr">
        <is>
          <t>calendar/zoom削除</t>
        </is>
      </c>
      <c r="F16" s="59" t="inlineStr">
        <is>
          <t>P1</t>
        </is>
      </c>
    </row>
    <row r="17">
      <c r="A17" s="59" t="inlineStr">
        <is>
          <t>meeting</t>
        </is>
      </c>
      <c r="B17" s="59" t="inlineStr">
        <is>
          <t>ended</t>
        </is>
      </c>
      <c r="C17" s="59" t="inlineStr">
        <is>
          <t>summarized</t>
        </is>
      </c>
      <c r="D17" s="59" t="inlineStr">
        <is>
          <t>stage3完了</t>
        </is>
      </c>
      <c r="E17" s="59" t="inlineStr">
        <is>
          <t>引き継ぎ可能化</t>
        </is>
      </c>
      <c r="F17" s="59" t="inlineStr">
        <is>
          <t>P1</t>
        </is>
      </c>
    </row>
    <row r="18">
      <c r="A18" s="59" t="inlineStr">
        <is>
          <t>recording</t>
        </is>
      </c>
      <c r="B18" s="59" t="inlineStr">
        <is>
          <t>queued</t>
        </is>
      </c>
      <c r="C18" s="59" t="inlineStr">
        <is>
          <t>stage1_transcript</t>
        </is>
      </c>
      <c r="D18" s="59" t="inlineStr">
        <is>
          <t>stage1完了</t>
        </is>
      </c>
      <c r="E18" s="59" t="inlineStr">
        <is>
          <t>通知+検索可</t>
        </is>
      </c>
      <c r="F18" s="59" t="inlineStr">
        <is>
          <t>P1</t>
        </is>
      </c>
    </row>
    <row r="19">
      <c r="A19" s="59" t="inlineStr">
        <is>
          <t>recording</t>
        </is>
      </c>
      <c r="B19" s="59" t="inlineStr">
        <is>
          <t>stage1_transcript</t>
        </is>
      </c>
      <c r="C19" s="59" t="inlineStr">
        <is>
          <t>stage2_preview</t>
        </is>
      </c>
      <c r="D19" s="59" t="inlineStr">
        <is>
          <t>stage2完了</t>
        </is>
      </c>
      <c r="E19" s="59" t="inlineStr">
        <is>
          <t>通知</t>
        </is>
      </c>
      <c r="F19" s="59" t="inlineStr">
        <is>
          <t>P1</t>
        </is>
      </c>
    </row>
    <row r="20">
      <c r="A20" s="59" t="inlineStr">
        <is>
          <t>recording</t>
        </is>
      </c>
      <c r="B20" s="59" t="inlineStr">
        <is>
          <t>stage2_preview</t>
        </is>
      </c>
      <c r="C20" s="59" t="inlineStr">
        <is>
          <t>stage3_full</t>
        </is>
      </c>
      <c r="D20" s="59" t="inlineStr">
        <is>
          <t>stage3完了</t>
        </is>
      </c>
      <c r="E20" s="59" t="inlineStr">
        <is>
          <t>通知+ナレッジ化</t>
        </is>
      </c>
      <c r="F20" s="59" t="inlineStr">
        <is>
          <t>P1</t>
        </is>
      </c>
    </row>
    <row r="21">
      <c r="A21" s="59" t="inlineStr">
        <is>
          <t>recording</t>
        </is>
      </c>
      <c r="B21" s="59" t="inlineStr">
        <is>
          <t>any</t>
        </is>
      </c>
      <c r="C21" s="59" t="inlineStr">
        <is>
          <t>failed</t>
        </is>
      </c>
      <c r="D21" s="59" t="inlineStr">
        <is>
          <t>エラー</t>
        </is>
      </c>
      <c r="E21" s="59" t="inlineStr">
        <is>
          <t>DLQ+admin通知</t>
        </is>
      </c>
      <c r="F21" s="59" t="inlineStr">
        <is>
          <t>P1</t>
        </is>
      </c>
    </row>
    <row r="22">
      <c r="A22" s="59" t="inlineStr">
        <is>
          <t>recording</t>
        </is>
      </c>
      <c r="B22" s="59" t="inlineStr">
        <is>
          <t>stage3_full</t>
        </is>
      </c>
      <c r="C22" s="59" t="inlineStr">
        <is>
          <t>reprocessing</t>
        </is>
      </c>
      <c r="D22" s="59" t="inlineStr">
        <is>
          <t>reprocess要求</t>
        </is>
      </c>
      <c r="E22" s="59" t="inlineStr">
        <is>
          <t>stage1からやり直し</t>
        </is>
      </c>
      <c r="F22" s="59" t="inlineStr">
        <is>
          <t>P2</t>
        </is>
      </c>
    </row>
    <row r="23">
      <c r="A23" s="59" t="inlineStr">
        <is>
          <t>internal_invite</t>
        </is>
      </c>
      <c r="B23" s="59" t="inlineStr">
        <is>
          <t>invited</t>
        </is>
      </c>
      <c r="C23" s="59" t="inlineStr">
        <is>
          <t>accepted</t>
        </is>
      </c>
      <c r="D23" s="59" t="inlineStr">
        <is>
          <t>invitee承諾</t>
        </is>
      </c>
      <c r="E23" s="59" t="inlineStr">
        <is>
          <t>carcalendar登録</t>
        </is>
      </c>
      <c r="F23" s="59" t="inlineStr">
        <is>
          <t>P2</t>
        </is>
      </c>
    </row>
    <row r="24">
      <c r="A24" s="59" t="inlineStr">
        <is>
          <t>internal_invite</t>
        </is>
      </c>
      <c r="B24" s="59" t="inlineStr">
        <is>
          <t>invited</t>
        </is>
      </c>
      <c r="C24" s="59" t="inlineStr">
        <is>
          <t>declined</t>
        </is>
      </c>
      <c r="D24" s="59" t="inlineStr">
        <is>
          <t>invitee辞退</t>
        </is>
      </c>
      <c r="E24" s="59" t="inlineStr">
        <is>
          <t>候補から除外</t>
        </is>
      </c>
      <c r="F24" s="59" t="inlineStr">
        <is>
          <t>P2</t>
        </is>
      </c>
    </row>
    <row r="25">
      <c r="A25" s="59" t="inlineStr">
        <is>
          <t>internal_invite</t>
        </is>
      </c>
      <c r="B25" s="59" t="inlineStr">
        <is>
          <t>invited</t>
        </is>
      </c>
      <c r="C25" s="59" t="inlineStr">
        <is>
          <t>timed_out</t>
        </is>
      </c>
      <c r="D25" s="59" t="inlineStr">
        <is>
          <t>2h無回答</t>
        </is>
      </c>
      <c r="E25" s="59" t="inlineStr">
        <is>
          <t>declinedとして扱う</t>
        </is>
      </c>
      <c r="F25" s="59" t="inlineStr">
        <is>
          <t>P2</t>
        </is>
      </c>
    </row>
    <row r="26">
      <c r="A26" s="59" t="inlineStr">
        <is>
          <t>calendar_hold</t>
        </is>
      </c>
      <c r="B26" s="59" t="inlineStr">
        <is>
          <t>held</t>
        </is>
      </c>
      <c r="C26" s="59" t="inlineStr">
        <is>
          <t>confirmed</t>
        </is>
      </c>
      <c r="D26" s="59" t="inlineStr">
        <is>
          <t>scheduling confirm</t>
        </is>
      </c>
      <c r="E26" s="59" t="inlineStr">
        <is>
          <t>本予定化</t>
        </is>
      </c>
      <c r="F26" s="59" t="inlineStr">
        <is>
          <t>P2</t>
        </is>
      </c>
    </row>
    <row r="27">
      <c r="A27" s="59" t="inlineStr">
        <is>
          <t>calendar_hold</t>
        </is>
      </c>
      <c r="B27" s="59" t="inlineStr">
        <is>
          <t>held</t>
        </is>
      </c>
      <c r="C27" s="59" t="inlineStr">
        <is>
          <t>released</t>
        </is>
      </c>
      <c r="D27" s="59" t="inlineStr">
        <is>
          <t>他候補確定/timeout</t>
        </is>
      </c>
      <c r="E27" s="59" t="inlineStr">
        <is>
          <t>予定削除</t>
        </is>
      </c>
      <c r="F27" s="59" t="inlineStr">
        <is>
          <t>P2</t>
        </is>
      </c>
    </row>
    <row r="28">
      <c r="A28" s="59" t="inlineStr">
        <is>
          <t>email_undo</t>
        </is>
      </c>
      <c r="B28" s="59" t="inlineStr">
        <is>
          <t>pending</t>
        </is>
      </c>
      <c r="C28" s="59" t="inlineStr">
        <is>
          <t>sent</t>
        </is>
      </c>
      <c r="D28" s="59" t="inlineStr">
        <is>
          <t>30秒経過</t>
        </is>
      </c>
      <c r="E28" s="59" t="inlineStr">
        <is>
          <t>Gmail send</t>
        </is>
      </c>
      <c r="F28" s="59" t="inlineStr">
        <is>
          <t>P2</t>
        </is>
      </c>
    </row>
    <row r="29">
      <c r="A29" s="59" t="inlineStr">
        <is>
          <t>email_undo</t>
        </is>
      </c>
      <c r="B29" s="59" t="inlineStr">
        <is>
          <t>pending</t>
        </is>
      </c>
      <c r="C29" s="59" t="inlineStr">
        <is>
          <t>cancelled</t>
        </is>
      </c>
      <c r="D29" s="59" t="inlineStr">
        <is>
          <t>ユーザundo</t>
        </is>
      </c>
      <c r="E29" s="59" t="inlineStr">
        <is>
          <t>下書き戻す</t>
        </is>
      </c>
      <c r="F29" s="59" t="inlineStr">
        <is>
          <t>P2</t>
        </is>
      </c>
    </row>
    <row r="30">
      <c r="A30" s="59" t="inlineStr">
        <is>
          <t>roleplay_session</t>
        </is>
      </c>
      <c r="B30" s="59" t="inlineStr">
        <is>
          <t>running</t>
        </is>
      </c>
      <c r="C30" s="59" t="inlineStr">
        <is>
          <t>completed</t>
        </is>
      </c>
      <c r="D30" s="59" t="inlineStr">
        <is>
          <t>通常終了</t>
        </is>
      </c>
      <c r="E30" s="59" t="inlineStr">
        <is>
          <t>評価生成</t>
        </is>
      </c>
      <c r="F30" s="59" t="inlineStr">
        <is>
          <t>P3</t>
        </is>
      </c>
    </row>
    <row r="31">
      <c r="A31" s="59" t="inlineStr">
        <is>
          <t>roleplay_session</t>
        </is>
      </c>
      <c r="B31" s="59" t="inlineStr">
        <is>
          <t>running</t>
        </is>
      </c>
      <c r="C31" s="59" t="inlineStr">
        <is>
          <t>gave_up</t>
        </is>
      </c>
      <c r="D31" s="59" t="inlineStr">
        <is>
          <t>降参モード</t>
        </is>
      </c>
      <c r="E31" s="59" t="inlineStr">
        <is>
          <t>コーチコメント</t>
        </is>
      </c>
      <c r="F31" s="59" t="inlineStr">
        <is>
          <t>P3</t>
        </is>
      </c>
    </row>
    <row r="32">
      <c r="A32" s="59" t="inlineStr">
        <is>
          <t>roleplay_session</t>
        </is>
      </c>
      <c r="B32" s="59" t="inlineStr">
        <is>
          <t>running</t>
        </is>
      </c>
      <c r="C32" s="59" t="inlineStr">
        <is>
          <t>timed_out</t>
        </is>
      </c>
      <c r="D32" s="59" t="inlineStr">
        <is>
          <t>制限超過</t>
        </is>
      </c>
      <c r="E32" s="59" t="inlineStr">
        <is>
          <t>強制終了+部分評価</t>
        </is>
      </c>
      <c r="F32" s="59" t="inlineStr">
        <is>
          <t>P3</t>
        </is>
      </c>
    </row>
    <row r="33">
      <c r="A33" s="59" t="inlineStr">
        <is>
          <t>handoff</t>
        </is>
      </c>
      <c r="B33" s="59" t="inlineStr">
        <is>
          <t>draft</t>
        </is>
      </c>
      <c r="C33" s="59" t="inlineStr">
        <is>
          <t>review</t>
        </is>
      </c>
      <c r="D33" s="59" t="inlineStr">
        <is>
          <t>営業送信</t>
        </is>
      </c>
      <c r="E33" s="59" t="inlineStr">
        <is>
          <t>CS通知</t>
        </is>
      </c>
      <c r="F33" s="59" t="inlineStr">
        <is>
          <t>P2</t>
        </is>
      </c>
    </row>
    <row r="34">
      <c r="A34" s="59" t="inlineStr">
        <is>
          <t>handoff</t>
        </is>
      </c>
      <c r="B34" s="59" t="inlineStr">
        <is>
          <t>review</t>
        </is>
      </c>
      <c r="C34" s="59" t="inlineStr">
        <is>
          <t>approved</t>
        </is>
      </c>
      <c r="D34" s="59" t="inlineStr">
        <is>
          <t>CS承認</t>
        </is>
      </c>
      <c r="E34" s="59" t="inlineStr">
        <is>
          <t>契約紐付け</t>
        </is>
      </c>
      <c r="F34" s="59" t="inlineStr">
        <is>
          <t>P2</t>
        </is>
      </c>
    </row>
    <row r="35">
      <c r="A35" s="59" t="inlineStr">
        <is>
          <t>handoff</t>
        </is>
      </c>
      <c r="B35" s="59" t="inlineStr">
        <is>
          <t>review</t>
        </is>
      </c>
      <c r="C35" s="59" t="inlineStr">
        <is>
          <t>rework</t>
        </is>
      </c>
      <c r="D35" s="59" t="inlineStr">
        <is>
          <t>CS差戻し</t>
        </is>
      </c>
      <c r="E35" s="59" t="inlineStr">
        <is>
          <t>営業に通知</t>
        </is>
      </c>
      <c r="F35" s="59" t="inlineStr">
        <is>
          <t>P2</t>
        </is>
      </c>
    </row>
    <row r="36">
      <c r="A36" s="59" t="inlineStr">
        <is>
          <t>consent_capture</t>
        </is>
      </c>
      <c r="B36" s="59" t="inlineStr">
        <is>
          <t>not_captured</t>
        </is>
      </c>
      <c r="C36" s="59" t="inlineStr">
        <is>
          <t>captured</t>
        </is>
      </c>
      <c r="D36" s="59" t="inlineStr">
        <is>
          <t>同意取得</t>
        </is>
      </c>
      <c r="E36" s="59" t="inlineStr">
        <is>
          <t>録画継続</t>
        </is>
      </c>
      <c r="F36" s="59" t="inlineStr">
        <is>
          <t>P2</t>
        </is>
      </c>
    </row>
    <row r="37">
      <c r="A37" s="59" t="inlineStr">
        <is>
          <t>consent_capture</t>
        </is>
      </c>
      <c r="B37" s="59" t="inlineStr">
        <is>
          <t>not_captured</t>
        </is>
      </c>
      <c r="C37" s="59" t="inlineStr">
        <is>
          <t>refused</t>
        </is>
      </c>
      <c r="D37" s="59" t="inlineStr">
        <is>
          <t>不同意</t>
        </is>
      </c>
      <c r="E37" s="59" t="inlineStr">
        <is>
          <t>録画停止+通知</t>
        </is>
      </c>
      <c r="F37" s="59" t="inlineStr">
        <is>
          <t>P2</t>
        </is>
      </c>
    </row>
    <row r="38">
      <c r="A38" s="59" t="inlineStr">
        <is>
          <t>consent_capture</t>
        </is>
      </c>
      <c r="B38" s="59" t="inlineStr">
        <is>
          <t>not_captured</t>
        </is>
      </c>
      <c r="C38" s="59" t="inlineStr">
        <is>
          <t>auto_terminated</t>
        </is>
      </c>
      <c r="D38" s="59" t="inlineStr">
        <is>
          <t>5分以内に同意なし</t>
        </is>
      </c>
      <c r="E38" s="59" t="inlineStr">
        <is>
          <t>録画停止+admin通知</t>
        </is>
      </c>
      <c r="F38" s="59" t="inlineStr">
        <is>
          <t>P2</t>
        </is>
      </c>
    </row>
    <row r="39">
      <c r="A39" s="59" t="inlineStr">
        <is>
          <t>complaint</t>
        </is>
      </c>
      <c r="B39" s="59" t="inlineStr">
        <is>
          <t>open</t>
        </is>
      </c>
      <c r="C39" s="59" t="inlineStr">
        <is>
          <t>investigating</t>
        </is>
      </c>
      <c r="D39" s="59" t="inlineStr">
        <is>
          <t>CS担当アサイン</t>
        </is>
      </c>
      <c r="E39" s="59" t="inlineStr">
        <is>
          <t>関連商談リンク</t>
        </is>
      </c>
      <c r="F39" s="59" t="inlineStr">
        <is>
          <t>P3</t>
        </is>
      </c>
    </row>
    <row r="40">
      <c r="A40" s="59" t="inlineStr">
        <is>
          <t>complaint</t>
        </is>
      </c>
      <c r="B40" s="59" t="inlineStr">
        <is>
          <t>investigating</t>
        </is>
      </c>
      <c r="C40" s="59" t="inlineStr">
        <is>
          <t>resolved</t>
        </is>
      </c>
      <c r="D40" s="59" t="inlineStr">
        <is>
          <t>対応完了</t>
        </is>
      </c>
      <c r="E40" s="59" t="inlineStr">
        <is>
          <t>lessons_learned</t>
        </is>
      </c>
      <c r="F40" s="59" t="inlineStr">
        <is>
          <t>P3</t>
        </is>
      </c>
    </row>
    <row r="41">
      <c r="A41" s="59" t="inlineStr">
        <is>
          <t>data_deletion_request</t>
        </is>
      </c>
      <c r="B41" s="59" t="inlineStr">
        <is>
          <t>received</t>
        </is>
      </c>
      <c r="C41" s="59" t="inlineStr">
        <is>
          <t>under_review</t>
        </is>
      </c>
      <c r="D41" s="59" t="inlineStr">
        <is>
          <t>admin assign</t>
        </is>
      </c>
      <c r="E41" s="59" t="inlineStr">
        <is>
          <t>SLA timer</t>
        </is>
      </c>
      <c r="F41" s="59" t="inlineStr">
        <is>
          <t>P2</t>
        </is>
      </c>
    </row>
    <row r="42">
      <c r="A42" s="59" t="inlineStr">
        <is>
          <t>data_deletion_request</t>
        </is>
      </c>
      <c r="B42" s="59" t="inlineStr">
        <is>
          <t>under_review</t>
        </is>
      </c>
      <c r="C42" s="59" t="inlineStr">
        <is>
          <t>approved/denied</t>
        </is>
      </c>
      <c r="D42" s="59" t="inlineStr">
        <is>
          <t>admin判断</t>
        </is>
      </c>
      <c r="E42" s="59" t="inlineStr">
        <is>
          <t>通知</t>
        </is>
      </c>
      <c r="F42" s="59" t="inlineStr">
        <is>
          <t>P2</t>
        </is>
      </c>
    </row>
    <row r="43">
      <c r="A43" s="59" t="inlineStr">
        <is>
          <t>data_deletion_request</t>
        </is>
      </c>
      <c r="B43" s="59" t="inlineStr">
        <is>
          <t>approved</t>
        </is>
      </c>
      <c r="C43" s="59" t="inlineStr">
        <is>
          <t>completed</t>
        </is>
      </c>
      <c r="D43" s="59" t="inlineStr">
        <is>
          <t>削除実行</t>
        </is>
      </c>
      <c r="E43" s="59" t="inlineStr">
        <is>
          <t>顧客通知+audit</t>
        </is>
      </c>
      <c r="F43" s="59" t="inlineStr">
        <is>
          <t>P2</t>
        </is>
      </c>
    </row>
    <row r="44">
      <c r="A44" s="59" t="inlineStr">
        <is>
          <t>upsell_signal</t>
        </is>
      </c>
      <c r="B44" s="59" t="inlineStr">
        <is>
          <t>new</t>
        </is>
      </c>
      <c r="C44" s="59" t="inlineStr">
        <is>
          <t>contacted</t>
        </is>
      </c>
      <c r="D44" s="59" t="inlineStr">
        <is>
          <t>営業着手</t>
        </is>
      </c>
      <c r="E44" s="59" t="inlineStr">
        <is>
          <t>CRM更新</t>
        </is>
      </c>
      <c r="F44" s="59" t="inlineStr">
        <is>
          <t>P3</t>
        </is>
      </c>
    </row>
    <row r="45">
      <c r="A45" s="59" t="inlineStr">
        <is>
          <t>upsell_signal</t>
        </is>
      </c>
      <c r="B45" s="59" t="inlineStr">
        <is>
          <t>contacted</t>
        </is>
      </c>
      <c r="C45" s="59" t="inlineStr">
        <is>
          <t>won/lost</t>
        </is>
      </c>
      <c r="D45" s="59" t="inlineStr">
        <is>
          <t>結果</t>
        </is>
      </c>
      <c r="E45" s="59" t="inlineStr">
        <is>
          <t>fed back</t>
        </is>
      </c>
      <c r="F45" s="59" t="inlineStr">
        <is>
          <t>P3</t>
        </is>
      </c>
    </row>
    <row r="46">
      <c r="A46" s="59" t="inlineStr">
        <is>
          <t>offline_queue_item</t>
        </is>
      </c>
      <c r="B46" s="59" t="inlineStr">
        <is>
          <t>queued</t>
        </is>
      </c>
      <c r="C46" s="59" t="inlineStr">
        <is>
          <t>syncing</t>
        </is>
      </c>
      <c r="D46" s="59" t="inlineStr">
        <is>
          <t>online復帰</t>
        </is>
      </c>
      <c r="E46" s="59" t="inlineStr">
        <is>
          <t>API投入</t>
        </is>
      </c>
      <c r="F46" s="59" t="inlineStr">
        <is>
          <t>P1</t>
        </is>
      </c>
    </row>
    <row r="47">
      <c r="A47" s="59" t="inlineStr">
        <is>
          <t>offline_queue_item</t>
        </is>
      </c>
      <c r="B47" s="59" t="inlineStr">
        <is>
          <t>syncing</t>
        </is>
      </c>
      <c r="C47" s="59" t="inlineStr">
        <is>
          <t>done</t>
        </is>
      </c>
      <c r="D47" s="59" t="inlineStr">
        <is>
          <t>成功</t>
        </is>
      </c>
      <c r="E47" s="59" t="inlineStr">
        <is>
          <t>ローカル削除</t>
        </is>
      </c>
      <c r="F47" s="59" t="inlineStr">
        <is>
          <t>P1</t>
        </is>
      </c>
    </row>
    <row r="48">
      <c r="A48" s="59" t="inlineStr">
        <is>
          <t>offline_queue_item</t>
        </is>
      </c>
      <c r="B48" s="59" t="inlineStr">
        <is>
          <t>syncing</t>
        </is>
      </c>
      <c r="C48" s="59" t="inlineStr">
        <is>
          <t>failed</t>
        </is>
      </c>
      <c r="D48" s="59" t="inlineStr">
        <is>
          <t>失敗</t>
        </is>
      </c>
      <c r="E48" s="59" t="inlineStr">
        <is>
          <t>retry exp</t>
        </is>
      </c>
      <c r="F48" s="59" t="inlineStr">
        <is>
          <t>P1</t>
        </is>
      </c>
    </row>
    <row r="50">
      <c r="A50" s="41" t="inlineStr">
        <is>
          <t>■ Round1指摘反映追加(v2.1)</t>
        </is>
      </c>
      <c r="B50" s="41" t="n"/>
      <c r="C50" s="41" t="n"/>
      <c r="D50" s="41" t="n"/>
      <c r="E50" s="41" t="n"/>
      <c r="F50" s="41" t="n"/>
    </row>
    <row r="51">
      <c r="A51" s="41" t="inlineStr">
        <is>
          <t>対象</t>
        </is>
      </c>
      <c r="B51" s="41" t="inlineStr">
        <is>
          <t>状態</t>
        </is>
      </c>
      <c r="C51" s="41" t="inlineStr">
        <is>
          <t>遷移先</t>
        </is>
      </c>
      <c r="D51" s="41" t="inlineStr">
        <is>
          <t>条件/イベント</t>
        </is>
      </c>
      <c r="E51" s="41" t="inlineStr">
        <is>
          <t>副作用</t>
        </is>
      </c>
      <c r="F51" s="41" t="inlineStr">
        <is>
          <t>Phase</t>
        </is>
      </c>
    </row>
    <row r="52">
      <c r="A52" s="41" t="inlineStr">
        <is>
          <t>recording_stage失敗(M-6)</t>
        </is>
      </c>
      <c r="B52" s="41" t="inlineStr">
        <is>
          <t>stage2_failed</t>
        </is>
      </c>
      <c r="C52" s="41" t="inlineStr">
        <is>
          <t>stage1_rerun</t>
        </is>
      </c>
      <c r="D52" s="41" t="inlineStr">
        <is>
          <t>reprocess要求</t>
        </is>
      </c>
      <c r="E52" s="41" t="inlineStr">
        <is>
          <t>embeddings WHERE source_id+stage DELETE→再投入</t>
        </is>
      </c>
      <c r="F52" s="41" t="inlineStr">
        <is>
          <t>P1</t>
        </is>
      </c>
    </row>
    <row r="53">
      <c r="A53" s="41" t="inlineStr">
        <is>
          <t>scheduling rescheduled→confirmed(M-7)</t>
        </is>
      </c>
      <c r="B53" s="41" t="inlineStr">
        <is>
          <t>rescheduled</t>
        </is>
      </c>
      <c r="C53" s="41" t="inlineStr">
        <is>
          <t>confirmed</t>
        </is>
      </c>
      <c r="D53" s="41" t="inlineStr">
        <is>
          <t>新日程確定</t>
        </is>
      </c>
      <c r="E53" s="41" t="inlineStr">
        <is>
          <t>Calendar/Zoom更新+holds解放</t>
        </is>
      </c>
      <c r="F53" s="41" t="inlineStr">
        <is>
          <t>P2</t>
        </is>
      </c>
    </row>
    <row r="54">
      <c r="A54" s="41" t="inlineStr">
        <is>
          <t>scheduling cancelled→initial(M-7)</t>
        </is>
      </c>
      <c r="B54" s="41" t="inlineStr">
        <is>
          <t>cancelled</t>
        </is>
      </c>
      <c r="C54" s="41" t="inlineStr">
        <is>
          <t>initial</t>
        </is>
      </c>
      <c r="D54" s="41" t="inlineStr">
        <is>
          <t>再開要求</t>
        </is>
      </c>
      <c r="E54" s="41" t="inlineStr">
        <is>
          <t>新proposalとして開始</t>
        </is>
      </c>
      <c r="F54" s="41" t="inlineStr">
        <is>
          <t>P2</t>
        </is>
      </c>
    </row>
    <row r="55">
      <c r="A55" s="41" t="inlineStr">
        <is>
          <t>scheduling 過去時刻判定(M-7)</t>
        </is>
      </c>
      <c r="B55" s="41" t="inlineStr">
        <is>
          <t>awaiting_reply</t>
        </is>
      </c>
      <c r="C55" s="41" t="inlineStr">
        <is>
          <t>auto_expired</t>
        </is>
      </c>
      <c r="D55" s="41" t="inlineStr">
        <is>
          <t>slot_start&lt;now-grace</t>
        </is>
      </c>
      <c r="E55" s="41" t="inlineStr">
        <is>
          <t>timed_outへ</t>
        </is>
      </c>
      <c r="F55" s="41" t="inlineStr">
        <is>
          <t>P2</t>
        </is>
      </c>
    </row>
    <row r="56">
      <c r="A56" s="41" t="inlineStr">
        <is>
          <t>contact lifecycle(L-2)</t>
        </is>
      </c>
      <c r="B56" s="41" t="inlineStr">
        <is>
          <t>lead</t>
        </is>
      </c>
      <c r="C56" s="41" t="inlineStr">
        <is>
          <t>qualified</t>
        </is>
      </c>
      <c r="D56" s="41" t="inlineStr">
        <is>
          <t>初回商談確定</t>
        </is>
      </c>
      <c r="E56" s="41" t="inlineStr">
        <is>
          <t>-</t>
        </is>
      </c>
      <c r="F56" s="41" t="inlineStr">
        <is>
          <t>P1</t>
        </is>
      </c>
    </row>
    <row r="57">
      <c r="A57" s="41" t="inlineStr">
        <is>
          <t>contact lifecycle(L-2)</t>
        </is>
      </c>
      <c r="B57" s="41" t="inlineStr">
        <is>
          <t>qualified</t>
        </is>
      </c>
      <c r="C57" s="41" t="inlineStr">
        <is>
          <t>customer</t>
        </is>
      </c>
      <c r="D57" s="41" t="inlineStr">
        <is>
          <t>契約締結</t>
        </is>
      </c>
      <c r="E57" s="41" t="inlineStr">
        <is>
          <t>-</t>
        </is>
      </c>
      <c r="F57" s="41" t="inlineStr">
        <is>
          <t>P1</t>
        </is>
      </c>
    </row>
    <row r="58">
      <c r="A58" s="41" t="inlineStr">
        <is>
          <t>contact lifecycle(L-2)</t>
        </is>
      </c>
      <c r="B58" s="41" t="inlineStr">
        <is>
          <t>customer</t>
        </is>
      </c>
      <c r="C58" s="41" t="inlineStr">
        <is>
          <t>churned</t>
        </is>
      </c>
      <c r="D58" s="41" t="inlineStr">
        <is>
          <t>解約</t>
        </is>
      </c>
      <c r="E58" s="41" t="inlineStr">
        <is>
          <t>-</t>
        </is>
      </c>
      <c r="F58" s="41" t="inlineStr">
        <is>
          <t>P2</t>
        </is>
      </c>
    </row>
    <row r="59">
      <c r="A59" s="41" t="inlineStr">
        <is>
          <t>contact lifecycle(L-2)</t>
        </is>
      </c>
      <c r="B59" s="41" t="inlineStr">
        <is>
          <t>customer</t>
        </is>
      </c>
      <c r="C59" s="41" t="inlineStr">
        <is>
          <t>at_risk</t>
        </is>
      </c>
      <c r="D59" s="41" t="inlineStr">
        <is>
          <t>クレーム多発</t>
        </is>
      </c>
      <c r="E59" s="41" t="inlineStr">
        <is>
          <t>-</t>
        </is>
      </c>
      <c r="F59" s="41" t="inlineStr">
        <is>
          <t>P3</t>
        </is>
      </c>
    </row>
    <row r="60">
      <c r="A60" s="41" t="inlineStr">
        <is>
          <t>consent_capture per-attendee(C-1,G-2)</t>
        </is>
      </c>
      <c r="B60" s="41" t="inlineStr">
        <is>
          <t>not_captured</t>
        </is>
      </c>
      <c r="C60" s="41" t="inlineStr">
        <is>
          <t>captured</t>
        </is>
      </c>
      <c r="D60" s="41" t="inlineStr">
        <is>
          <t>attendee join時dialog</t>
        </is>
      </c>
      <c r="E60" s="41" t="inlineStr">
        <is>
          <t>録画継続</t>
        </is>
      </c>
      <c r="F60" s="41" t="inlineStr">
        <is>
          <t>P2</t>
        </is>
      </c>
    </row>
    <row r="61">
      <c r="A61" s="41" t="inlineStr">
        <is>
          <t>consent_capture per-attendee(C-1,G-2)</t>
        </is>
      </c>
      <c r="B61" s="41" t="inlineStr">
        <is>
          <t>not_captured</t>
        </is>
      </c>
      <c r="C61" s="41" t="inlineStr">
        <is>
          <t>refused</t>
        </is>
      </c>
      <c r="D61" s="41" t="inlineStr">
        <is>
          <t>拒否</t>
        </is>
      </c>
      <c r="E61" s="41" t="inlineStr">
        <is>
          <t>当該話者発話redact</t>
        </is>
      </c>
      <c r="F61" s="41" t="inlineStr">
        <is>
          <t>P2</t>
        </is>
      </c>
    </row>
    <row r="62">
      <c r="A62" s="41" t="inlineStr">
        <is>
          <t>consent_capture per-attendee(C-1,G-2)</t>
        </is>
      </c>
      <c r="B62" s="41" t="inlineStr">
        <is>
          <t>not_captured</t>
        </is>
      </c>
      <c r="C62" s="41" t="inlineStr">
        <is>
          <t>late_join_pending</t>
        </is>
      </c>
      <c r="D62" s="41" t="inlineStr">
        <is>
          <t>途中参加</t>
        </is>
      </c>
      <c r="E62" s="41" t="inlineStr">
        <is>
          <t>再アナウンスjob</t>
        </is>
      </c>
      <c r="F62" s="41" t="inlineStr">
        <is>
          <t>P2</t>
        </is>
      </c>
    </row>
    <row r="63">
      <c r="A63" s="41" t="inlineStr">
        <is>
          <t>audit_log chain(C-5)</t>
        </is>
      </c>
      <c r="B63" s="41" t="inlineStr">
        <is>
          <t>valid</t>
        </is>
      </c>
      <c r="C63" s="41" t="inlineStr">
        <is>
          <t>broken</t>
        </is>
      </c>
      <c r="D63" s="41" t="inlineStr">
        <is>
          <t>hash不一致</t>
        </is>
      </c>
      <c r="E63" s="41" t="inlineStr">
        <is>
          <t>Slack/PD+調査</t>
        </is>
      </c>
      <c r="F63" s="41" t="inlineStr">
        <is>
          <t>P2</t>
        </is>
      </c>
    </row>
    <row r="64">
      <c r="A64" s="41" t="inlineStr">
        <is>
          <t>jobs_inflight(T-3)</t>
        </is>
      </c>
      <c r="B64" s="41" t="inlineStr">
        <is>
          <t>acquired</t>
        </is>
      </c>
      <c r="C64" s="41" t="inlineStr">
        <is>
          <t>released</t>
        </is>
      </c>
      <c r="D64" s="41" t="inlineStr">
        <is>
          <t>完了 or expires_at超</t>
        </is>
      </c>
      <c r="E64" s="41" t="inlineStr">
        <is>
          <t>次worker処理可</t>
        </is>
      </c>
      <c r="F64" s="41" t="inlineStr">
        <is>
          <t>P1</t>
        </is>
      </c>
    </row>
    <row r="66">
      <c r="A66" s="41" t="inlineStr">
        <is>
          <t>■ Round2指摘反映追加(v2.2)</t>
        </is>
      </c>
      <c r="B66" s="41" t="n"/>
      <c r="C66" s="41" t="n"/>
      <c r="D66" s="41" t="n"/>
      <c r="E66" s="41" t="n"/>
      <c r="F66" s="41" t="n"/>
    </row>
    <row r="67">
      <c r="A67" s="41" t="inlineStr">
        <is>
          <t>対象</t>
        </is>
      </c>
      <c r="B67" s="41" t="inlineStr">
        <is>
          <t>状態</t>
        </is>
      </c>
      <c r="C67" s="41" t="inlineStr">
        <is>
          <t>遷移先</t>
        </is>
      </c>
      <c r="D67" s="41" t="inlineStr">
        <is>
          <t>条件/イベント</t>
        </is>
      </c>
      <c r="E67" s="41" t="inlineStr">
        <is>
          <t>副作用</t>
        </is>
      </c>
      <c r="F67" s="41" t="inlineStr">
        <is>
          <t>Phase</t>
        </is>
      </c>
    </row>
    <row r="68">
      <c r="A68" s="41" t="inlineStr">
        <is>
          <t>consent_capture per-attendee(N-3)</t>
        </is>
      </c>
      <c r="B68" s="41" t="inlineStr">
        <is>
          <t>late_join_pending</t>
        </is>
      </c>
      <c r="C68" s="41" t="inlineStr">
        <is>
          <t>refused</t>
        </is>
      </c>
      <c r="D68" s="41" t="inlineStr">
        <is>
          <t>300秒(5分)以内に同意取得なし</t>
        </is>
      </c>
      <c r="E68" s="41" t="inlineStr">
        <is>
          <t>当該話者発話自動redact+管理者通知</t>
        </is>
      </c>
      <c r="F68" s="41" t="inlineStr">
        <is>
          <t>P2</t>
        </is>
      </c>
    </row>
    <row r="69">
      <c r="A69" s="41" t="inlineStr">
        <is>
          <t>consent_capture per-attendee(N-3)</t>
        </is>
      </c>
      <c r="B69" s="41" t="inlineStr">
        <is>
          <t>late_join_pending</t>
        </is>
      </c>
      <c r="C69" s="41" t="inlineStr">
        <is>
          <t>captured</t>
        </is>
      </c>
      <c r="D69" s="41" t="inlineStr">
        <is>
          <t>attendee dialogで同意</t>
        </is>
      </c>
      <c r="E69" s="41" t="inlineStr">
        <is>
          <t>録画継続</t>
        </is>
      </c>
      <c r="F69" s="41" t="inlineStr">
        <is>
          <t>P2</t>
        </is>
      </c>
    </row>
    <row r="71">
      <c r="A71" s="41" t="inlineStr">
        <is>
          <t>■ v2.3 追加遷移(実演シミュ反映)</t>
        </is>
      </c>
      <c r="B71" s="41" t="n"/>
      <c r="C71" s="41" t="n"/>
      <c r="D71" s="41" t="n"/>
      <c r="E71" s="41" t="n"/>
      <c r="F71" s="41" t="n"/>
    </row>
    <row r="72">
      <c r="A72" s="41" t="inlineStr">
        <is>
          <t>対象</t>
        </is>
      </c>
      <c r="B72" s="41" t="inlineStr">
        <is>
          <t>状態</t>
        </is>
      </c>
      <c r="C72" s="41" t="inlineStr">
        <is>
          <t>遷移先</t>
        </is>
      </c>
      <c r="D72" s="41" t="inlineStr">
        <is>
          <t>条件/イベント</t>
        </is>
      </c>
      <c r="E72" s="41" t="inlineStr">
        <is>
          <t>副作用</t>
        </is>
      </c>
      <c r="F72" s="41" t="inlineStr">
        <is>
          <t>Phase</t>
        </is>
      </c>
    </row>
    <row r="73">
      <c r="A73" s="41" t="inlineStr">
        <is>
          <t>internal_invite(F-S2-1)</t>
        </is>
      </c>
      <c r="B73" s="41" t="inlineStr">
        <is>
          <t>invited</t>
        </is>
      </c>
      <c r="C73" s="41" t="inlineStr">
        <is>
          <t>extended</t>
        </is>
      </c>
      <c r="D73" s="41" t="inlineStr">
        <is>
          <t>役職=part_of(out_of_office) or 緊急度=normal</t>
        </is>
      </c>
      <c r="E73" s="41" t="inlineStr">
        <is>
          <t>timeout=24h or 4hに延長</t>
        </is>
      </c>
      <c r="F73" s="41" t="inlineStr">
        <is>
          <t>P2</t>
        </is>
      </c>
    </row>
    <row r="74">
      <c r="A74" s="41" t="inlineStr">
        <is>
          <t>internal_invite(F-S2-1)</t>
        </is>
      </c>
      <c r="B74" s="41" t="inlineStr">
        <is>
          <t>timed_out</t>
        </is>
      </c>
      <c r="C74" s="41" t="inlineStr">
        <is>
          <t>reinvited</t>
        </is>
      </c>
      <c r="D74" s="41" t="inlineStr">
        <is>
          <t>one-tapリインバイト</t>
        </is>
      </c>
      <c r="E74" s="41" t="inlineStr">
        <is>
          <t>新deadline+通知</t>
        </is>
      </c>
      <c r="F74" s="41" t="inlineStr">
        <is>
          <t>P2</t>
        </is>
      </c>
    </row>
    <row r="75">
      <c r="A75" s="41" t="inlineStr">
        <is>
          <t>calendar_hold(F-S2-2)</t>
        </is>
      </c>
      <c r="B75" s="41" t="inlineStr">
        <is>
          <t>held</t>
        </is>
      </c>
      <c r="C75" s="41" t="inlineStr">
        <is>
          <t>attendees_dimmed_held</t>
        </is>
      </c>
      <c r="D75" s="41" t="inlineStr">
        <is>
          <t>attendees_visible=true で同席者カレンダーに半透明表示</t>
        </is>
      </c>
      <c r="E75" s="41" t="inlineStr">
        <is>
          <t>-</t>
        </is>
      </c>
      <c r="F75" s="41" t="inlineStr">
        <is>
          <t>P2</t>
        </is>
      </c>
    </row>
    <row r="76">
      <c r="A76" s="41" t="inlineStr">
        <is>
          <t>scheduling_proposal(F-S2-4)</t>
        </is>
      </c>
      <c r="B76" s="41" t="inlineStr">
        <is>
          <t>confirmed</t>
        </is>
      </c>
      <c r="C76" s="41" t="inlineStr">
        <is>
          <t>customer_counter_propose</t>
        </is>
      </c>
      <c r="D76" s="41" t="inlineStr">
        <is>
          <t>顧客がSC-39で日程変更依頼</t>
        </is>
      </c>
      <c r="E76" s="41" t="inlineStr">
        <is>
          <t>営業に通知+新ドラフト起動</t>
        </is>
      </c>
      <c r="F76" s="41" t="inlineStr">
        <is>
          <t>P2</t>
        </is>
      </c>
    </row>
    <row r="77">
      <c r="A77" s="41" t="inlineStr">
        <is>
          <t>meeting(F-S4-5)</t>
        </is>
      </c>
      <c r="B77" s="41" t="inlineStr">
        <is>
          <t>in_progress</t>
        </is>
      </c>
      <c r="C77" s="41" t="inlineStr">
        <is>
          <t>recording_paused</t>
        </is>
      </c>
      <c r="D77" s="41" t="inlineStr">
        <is>
          <t>Zoom webhook recording.paused</t>
        </is>
      </c>
      <c r="E77" s="41" t="inlineStr">
        <is>
          <t>30秒以内Push+SMS+UIライブインジケータ</t>
        </is>
      </c>
      <c r="F77" s="41" t="inlineStr">
        <is>
          <t>P1</t>
        </is>
      </c>
    </row>
    <row r="78">
      <c r="A78" s="41" t="inlineStr">
        <is>
          <t>meeting_brief(F-S4-4)</t>
        </is>
      </c>
      <c r="B78" s="41" t="inlineStr">
        <is>
          <t>none</t>
        </is>
      </c>
      <c r="C78" s="41" t="inlineStr">
        <is>
          <t>degraded</t>
        </is>
      </c>
      <c r="D78" s="41" t="inlineStr">
        <is>
          <t>15分前トリガ</t>
        </is>
      </c>
      <c r="E78" s="41" t="inlineStr">
        <is>
          <t>縮退版生成</t>
        </is>
      </c>
      <c r="F78" s="41" t="inlineStr">
        <is>
          <t>P2</t>
        </is>
      </c>
    </row>
    <row r="79">
      <c r="A79" s="41" t="inlineStr">
        <is>
          <t>meeting_brief(F-S4-4)</t>
        </is>
      </c>
      <c r="B79" s="41" t="inlineStr">
        <is>
          <t>degraded</t>
        </is>
      </c>
      <c r="C79" s="41" t="inlineStr">
        <is>
          <t>full</t>
        </is>
      </c>
      <c r="D79" s="41" t="inlineStr">
        <is>
          <t>5分前完全版生成成功</t>
        </is>
      </c>
      <c r="E79" s="41" t="inlineStr">
        <is>
          <t>完全版差し替え</t>
        </is>
      </c>
      <c r="F79" s="41" t="inlineStr">
        <is>
          <t>P2</t>
        </is>
      </c>
    </row>
    <row r="80">
      <c r="A80" s="41" t="inlineStr">
        <is>
          <t>meeting_brief(F-S4-4)</t>
        </is>
      </c>
      <c r="B80" s="41" t="inlineStr">
        <is>
          <t>degraded</t>
        </is>
      </c>
      <c r="C80" s="41" t="inlineStr">
        <is>
          <t>full_failed</t>
        </is>
      </c>
      <c r="D80" s="41" t="inlineStr">
        <is>
          <t>完全版生成失敗</t>
        </is>
      </c>
      <c r="E80" s="41" t="inlineStr">
        <is>
          <t>縮退版維持+エラーログ</t>
        </is>
      </c>
      <c r="F80" s="41" t="inlineStr">
        <is>
          <t>P2</t>
        </is>
      </c>
    </row>
    <row r="81">
      <c r="A81" s="41" t="inlineStr">
        <is>
          <t>recording(F-S5-2)</t>
        </is>
      </c>
      <c r="B81" s="41" t="inlineStr">
        <is>
          <t>stage2_preview</t>
        </is>
      </c>
      <c r="C81" s="41" t="inlineStr">
        <is>
          <t>stage3_partial_artifact</t>
        </is>
      </c>
      <c r="D81" s="41" t="inlineStr">
        <is>
          <t>partial_artifacts_allowed=true</t>
        </is>
      </c>
      <c r="E81" s="41" t="inlineStr">
        <is>
          <t>summary/handoff部分生成可</t>
        </is>
      </c>
      <c r="F81" s="41" t="inlineStr">
        <is>
          <t>P2</t>
        </is>
      </c>
    </row>
    <row r="82">
      <c r="A82" s="41" t="inlineStr">
        <is>
          <t>voice_memo(F-S14-2)</t>
        </is>
      </c>
      <c r="B82" s="41" t="inlineStr">
        <is>
          <t>recording</t>
        </is>
      </c>
      <c r="C82" s="41" t="inlineStr">
        <is>
          <t>interrupted</t>
        </is>
      </c>
      <c r="D82" s="41" t="inlineStr">
        <is>
          <t>電話/BG/BT切替</t>
        </is>
      </c>
      <c r="E82" s="41" t="inlineStr">
        <is>
          <t>部分IndexedDB保存+再開prompt</t>
        </is>
      </c>
      <c r="F82" s="41" t="inlineStr">
        <is>
          <t>P2</t>
        </is>
      </c>
    </row>
    <row r="83">
      <c r="A83" s="41" t="inlineStr">
        <is>
          <t>voice_memo(F-S14-2)</t>
        </is>
      </c>
      <c r="B83" s="41" t="inlineStr">
        <is>
          <t>interrupted</t>
        </is>
      </c>
      <c r="C83" s="41" t="inlineStr">
        <is>
          <t>resumed</t>
        </is>
      </c>
      <c r="D83" s="41" t="inlineStr">
        <is>
          <t>ユーザ再開</t>
        </is>
      </c>
      <c r="E83" s="41" t="inlineStr">
        <is>
          <t>新segment追加(連結)</t>
        </is>
      </c>
      <c r="F83" s="41" t="inlineStr">
        <is>
          <t>P2</t>
        </is>
      </c>
    </row>
    <row r="84">
      <c r="A84" s="41" t="inlineStr">
        <is>
          <t>voice_memo(F-S14-2)</t>
        </is>
      </c>
      <c r="B84" s="41" t="inlineStr">
        <is>
          <t>interrupted</t>
        </is>
      </c>
      <c r="C84" s="41" t="inlineStr">
        <is>
          <t>abandoned</t>
        </is>
      </c>
      <c r="D84" s="41" t="inlineStr">
        <is>
          <t>30分以上放置</t>
        </is>
      </c>
      <c r="E84" s="41" t="inlineStr">
        <is>
          <t>部分のみ保存+通知</t>
        </is>
      </c>
      <c r="F84" s="41" t="inlineStr">
        <is>
          <t>P2</t>
        </is>
      </c>
    </row>
    <row r="85">
      <c r="A85" s="41" t="inlineStr">
        <is>
          <t>handoff(F-S9-1)</t>
        </is>
      </c>
      <c r="B85" s="41" t="inlineStr">
        <is>
          <t>review</t>
        </is>
      </c>
      <c r="C85" s="41" t="inlineStr">
        <is>
          <t>sla_breach_cc_supervisor</t>
        </is>
      </c>
      <c r="D85" s="41" t="inlineStr">
        <is>
          <t>48h無accept</t>
        </is>
      </c>
      <c r="E85" s="41" t="inlineStr">
        <is>
          <t>上長cc</t>
        </is>
      </c>
      <c r="F85" s="41" t="inlineStr">
        <is>
          <t>P2</t>
        </is>
      </c>
    </row>
    <row r="86">
      <c r="A86" s="41" t="inlineStr">
        <is>
          <t>handoff(F-S9-1)</t>
        </is>
      </c>
      <c r="B86" s="41" t="inlineStr">
        <is>
          <t>sla_breach_cc_supervisor</t>
        </is>
      </c>
      <c r="C86" s="41" t="inlineStr">
        <is>
          <t>force_assigned</t>
        </is>
      </c>
      <c r="D86" s="41" t="inlineStr">
        <is>
          <t>72h無accept</t>
        </is>
      </c>
      <c r="E86" s="41" t="inlineStr">
        <is>
          <t>マネージャー強制割当</t>
        </is>
      </c>
      <c r="F86" s="41" t="inlineStr">
        <is>
          <t>P2</t>
        </is>
      </c>
    </row>
    <row r="87">
      <c r="A87" s="41" t="inlineStr">
        <is>
          <t>audit_chain_incident(F-S10-3)</t>
        </is>
      </c>
      <c r="B87" s="41" t="inlineStr">
        <is>
          <t>detected</t>
        </is>
      </c>
      <c r="C87" s="41" t="inlineStr">
        <is>
          <t>investigating</t>
        </is>
      </c>
      <c r="D87" s="41" t="inlineStr">
        <is>
          <t>担当者assign</t>
        </is>
      </c>
      <c r="E87" s="41" t="inlineStr">
        <is>
          <t>-</t>
        </is>
      </c>
      <c r="F87" s="41" t="inlineStr">
        <is>
          <t>P2</t>
        </is>
      </c>
    </row>
    <row r="88">
      <c r="A88" s="41" t="inlineStr">
        <is>
          <t>audit_chain_incident(F-S10-3)</t>
        </is>
      </c>
      <c r="B88" s="41" t="inlineStr">
        <is>
          <t>investigating</t>
        </is>
      </c>
      <c r="C88" s="41" t="inlineStr">
        <is>
          <t>closed</t>
        </is>
      </c>
      <c r="D88" s="41" t="inlineStr">
        <is>
          <t>RCA+dual approval</t>
        </is>
      </c>
      <c r="E88" s="41" t="inlineStr">
        <is>
          <t>admin監査ログ</t>
        </is>
      </c>
      <c r="F88" s="41" t="inlineStr">
        <is>
          <t>P2</t>
        </is>
      </c>
    </row>
    <row r="89">
      <c r="A89" s="41" t="inlineStr">
        <is>
          <t>dr_restore_request(F-S10-1)</t>
        </is>
      </c>
      <c r="B89" s="41" t="inlineStr">
        <is>
          <t>requested</t>
        </is>
      </c>
      <c r="C89" s="41" t="inlineStr">
        <is>
          <t>approved</t>
        </is>
      </c>
      <c r="D89" s="41" t="inlineStr">
        <is>
          <t>admin+legal dual</t>
        </is>
      </c>
      <c r="E89" s="41" t="inlineStr">
        <is>
          <t>queue投入</t>
        </is>
      </c>
      <c r="F89" s="41" t="inlineStr">
        <is>
          <t>P3</t>
        </is>
      </c>
    </row>
    <row r="90">
      <c r="A90" s="41" t="inlineStr">
        <is>
          <t>dr_restore_request(F-S10-1)</t>
        </is>
      </c>
      <c r="B90" s="41" t="inlineStr">
        <is>
          <t>approved</t>
        </is>
      </c>
      <c r="C90" s="41" t="inlineStr">
        <is>
          <t>completed</t>
        </is>
      </c>
      <c r="D90" s="41" t="inlineStr">
        <is>
          <t>復元完了</t>
        </is>
      </c>
      <c r="E90" s="41" t="inlineStr">
        <is>
          <t>通知+audit</t>
        </is>
      </c>
      <c r="F90" s="41" t="inlineStr">
        <is>
          <t>P3</t>
        </is>
      </c>
    </row>
    <row r="91">
      <c r="A91" s="41" t="inlineStr">
        <is>
          <t>dr_restore_request(F-S10-1)</t>
        </is>
      </c>
      <c r="B91" s="41" t="inlineStr">
        <is>
          <t>requested</t>
        </is>
      </c>
      <c r="C91" s="41" t="inlineStr">
        <is>
          <t>denied</t>
        </is>
      </c>
      <c r="D91" s="41" t="inlineStr">
        <is>
          <t>承認NG</t>
        </is>
      </c>
      <c r="E91" s="41" t="inlineStr">
        <is>
          <t>reason付き通知</t>
        </is>
      </c>
      <c r="F91" s="41" t="inlineStr">
        <is>
          <t>P3</t>
        </is>
      </c>
    </row>
    <row r="92">
      <c r="A92" s="41" t="inlineStr">
        <is>
          <t>consent_capture per-attendee(F-S4-3)</t>
        </is>
      </c>
      <c r="B92" s="41" t="inlineStr">
        <is>
          <t>internal_user_join</t>
        </is>
      </c>
      <c r="C92" s="41" t="inlineStr">
        <is>
          <t>auto_captured</t>
        </is>
      </c>
      <c r="D92" s="41" t="inlineStr">
        <is>
          <t>users.consent_blanket_for_internal_meetings=true</t>
        </is>
      </c>
      <c r="E92" s="41" t="inlineStr">
        <is>
          <t>録画継続(dialog省略)</t>
        </is>
      </c>
      <c r="F92" s="41" t="inlineStr">
        <is>
          <t>P2</t>
        </is>
      </c>
    </row>
    <row r="94">
      <c r="A94" s="41" t="inlineStr">
        <is>
          <t>■ v2.4 追加状態(再シミュ残課題)</t>
        </is>
      </c>
      <c r="B94" s="41" t="n"/>
      <c r="C94" s="41" t="n"/>
      <c r="D94" s="41" t="n"/>
      <c r="E94" s="41" t="n"/>
      <c r="F94" s="41" t="n"/>
    </row>
    <row r="95">
      <c r="A95" s="41" t="inlineStr">
        <is>
          <t>対象</t>
        </is>
      </c>
      <c r="B95" s="41" t="inlineStr">
        <is>
          <t>状態</t>
        </is>
      </c>
      <c r="C95" s="41" t="inlineStr">
        <is>
          <t>遷移先</t>
        </is>
      </c>
      <c r="D95" s="41" t="inlineStr">
        <is>
          <t>条件/イベント</t>
        </is>
      </c>
      <c r="E95" s="41" t="inlineStr">
        <is>
          <t>副作用</t>
        </is>
      </c>
      <c r="F95" s="41" t="inlineStr">
        <is>
          <t>Phase</t>
        </is>
      </c>
    </row>
    <row r="96">
      <c r="A96" s="41" t="inlineStr">
        <is>
          <t>pre_consent_buffer(NF-S4-1)</t>
        </is>
      </c>
      <c r="B96" s="41" t="inlineStr">
        <is>
          <t>unlocked</t>
        </is>
      </c>
      <c r="C96" s="41" t="inlineStr">
        <is>
          <t>verbal_locked</t>
        </is>
      </c>
      <c r="D96" s="41" t="inlineStr">
        <is>
          <t>verbal同意取得+segment紐付け</t>
        </is>
      </c>
      <c r="E96" s="41" t="inlineStr">
        <is>
          <t>purge保留+retention連動</t>
        </is>
      </c>
      <c r="F96" s="41" t="inlineStr">
        <is>
          <t>P2</t>
        </is>
      </c>
    </row>
    <row r="97">
      <c r="A97" s="41" t="inlineStr">
        <is>
          <t>pre_consent_buffer(NF-S4-1)</t>
        </is>
      </c>
      <c r="B97" s="41" t="inlineStr">
        <is>
          <t>unlocked</t>
        </is>
      </c>
      <c r="C97" s="41" t="inlineStr">
        <is>
          <t>purged</t>
        </is>
      </c>
      <c r="D97" s="41" t="inlineStr">
        <is>
          <t>録画開始+5分経過</t>
        </is>
      </c>
      <c r="E97" s="41" t="inlineStr">
        <is>
          <t>物理削除</t>
        </is>
      </c>
      <c r="F97" s="41" t="inlineStr">
        <is>
          <t>P2</t>
        </is>
      </c>
    </row>
    <row r="98">
      <c r="A98" s="41" t="inlineStr">
        <is>
          <t>pre_consent_buffer(NF-S4-1)</t>
        </is>
      </c>
      <c r="B98" s="41" t="inlineStr">
        <is>
          <t>verbal_locked</t>
        </is>
      </c>
      <c r="C98" s="41" t="inlineStr">
        <is>
          <t>retention_aged</t>
        </is>
      </c>
      <c r="D98" s="41" t="inlineStr">
        <is>
          <t>保持期間終了</t>
        </is>
      </c>
      <c r="E98" s="41" t="inlineStr">
        <is>
          <t>retention policyに従い削除</t>
        </is>
      </c>
      <c r="F98" s="41" t="inlineStr">
        <is>
          <t>P2</t>
        </is>
      </c>
    </row>
    <row r="99">
      <c r="A99" s="41" t="inlineStr">
        <is>
          <t>taxonomy_change(NF-S9-1)</t>
        </is>
      </c>
      <c r="B99" s="41" t="inlineStr">
        <is>
          <t>proposed</t>
        </is>
      </c>
      <c r="C99" s="41" t="inlineStr">
        <is>
          <t>legal_review</t>
        </is>
      </c>
      <c r="D99" s="41" t="inlineStr">
        <is>
          <t>申請完了</t>
        </is>
      </c>
      <c r="E99" s="41" t="inlineStr">
        <is>
          <t>-</t>
        </is>
      </c>
      <c r="F99" s="41" t="inlineStr">
        <is>
          <t>P3</t>
        </is>
      </c>
    </row>
    <row r="100">
      <c r="A100" s="41" t="inlineStr">
        <is>
          <t>taxonomy_change(NF-S9-1)</t>
        </is>
      </c>
      <c r="B100" s="41" t="inlineStr">
        <is>
          <t>legal_review</t>
        </is>
      </c>
      <c r="C100" s="41" t="inlineStr">
        <is>
          <t>admin_approve</t>
        </is>
      </c>
      <c r="D100" s="41" t="inlineStr">
        <is>
          <t>法務承認</t>
        </is>
      </c>
      <c r="E100" s="41" t="inlineStr">
        <is>
          <t>-</t>
        </is>
      </c>
      <c r="F100" s="41" t="inlineStr">
        <is>
          <t>P3</t>
        </is>
      </c>
    </row>
    <row r="101">
      <c r="A101" s="41" t="inlineStr">
        <is>
          <t>taxonomy_change(NF-S9-1)</t>
        </is>
      </c>
      <c r="B101" s="41" t="inlineStr">
        <is>
          <t>admin_approve</t>
        </is>
      </c>
      <c r="C101" s="41" t="inlineStr">
        <is>
          <t>active</t>
        </is>
      </c>
      <c r="D101" s="41" t="inlineStr">
        <is>
          <t>情シス承認</t>
        </is>
      </c>
      <c r="E101" s="41" t="inlineStr">
        <is>
          <t>版up+enum反映</t>
        </is>
      </c>
      <c r="F101" s="41" t="inlineStr">
        <is>
          <t>P3</t>
        </is>
      </c>
    </row>
    <row r="102">
      <c r="A102" s="41" t="inlineStr">
        <is>
          <t>taxonomy_change(NF-S9-1)</t>
        </is>
      </c>
      <c r="B102" s="41" t="inlineStr">
        <is>
          <t>active</t>
        </is>
      </c>
      <c r="C102" s="41" t="inlineStr">
        <is>
          <t>archived</t>
        </is>
      </c>
      <c r="D102" s="41" t="inlineStr">
        <is>
          <t>代替版でreplace</t>
        </is>
      </c>
      <c r="E102" s="41" t="inlineStr">
        <is>
          <t>検索除外</t>
        </is>
      </c>
      <c r="F102" s="41" t="inlineStr">
        <is>
          <t>P3</t>
        </is>
      </c>
    </row>
    <row r="103">
      <c r="A103" s="41" t="inlineStr">
        <is>
          <t>legal_hold_override(F-S11-3再)</t>
        </is>
      </c>
      <c r="B103" s="41" t="inlineStr">
        <is>
          <t>received</t>
        </is>
      </c>
      <c r="C103" s="41" t="inlineStr">
        <is>
          <t>legal_approved</t>
        </is>
      </c>
      <c r="D103" s="41" t="inlineStr">
        <is>
          <t>法務承認</t>
        </is>
      </c>
      <c r="E103" s="41" t="inlineStr">
        <is>
          <t>-</t>
        </is>
      </c>
      <c r="F103" s="41" t="inlineStr">
        <is>
          <t>P2</t>
        </is>
      </c>
    </row>
    <row r="104">
      <c r="A104" s="41" t="inlineStr">
        <is>
          <t>legal_hold_override(F-S11-3再)</t>
        </is>
      </c>
      <c r="B104" s="41" t="inlineStr">
        <is>
          <t>legal_approved</t>
        </is>
      </c>
      <c r="C104" s="41" t="inlineStr">
        <is>
          <t>it_approved</t>
        </is>
      </c>
      <c r="D104" s="41" t="inlineStr">
        <is>
          <t>情シス承認</t>
        </is>
      </c>
      <c r="E104" s="41" t="inlineStr">
        <is>
          <t>-</t>
        </is>
      </c>
      <c r="F104" s="41" t="inlineStr">
        <is>
          <t>P2</t>
        </is>
      </c>
    </row>
    <row r="105">
      <c r="A105" s="41" t="inlineStr">
        <is>
          <t>legal_hold_override(F-S11-3再)</t>
        </is>
      </c>
      <c r="B105" s="41" t="inlineStr">
        <is>
          <t>it_approved</t>
        </is>
      </c>
      <c r="C105" s="41" t="inlineStr">
        <is>
          <t>representative_approved</t>
        </is>
      </c>
      <c r="D105" s="41" t="inlineStr">
        <is>
          <t>代理人承認</t>
        </is>
      </c>
      <c r="E105" s="41" t="inlineStr">
        <is>
          <t>削除実行可</t>
        </is>
      </c>
      <c r="F105" s="41" t="inlineStr">
        <is>
          <t>P2</t>
        </is>
      </c>
    </row>
    <row r="106">
      <c r="A106" s="41" t="inlineStr">
        <is>
          <t>roleplay_consent(F-S7-4再)</t>
        </is>
      </c>
      <c r="B106" s="41" t="inlineStr">
        <is>
          <t>none</t>
        </is>
      </c>
      <c r="C106" s="41" t="inlineStr">
        <is>
          <t>review_only</t>
        </is>
      </c>
      <c r="D106" s="41" t="inlineStr">
        <is>
          <t>初回起動時opt-in</t>
        </is>
      </c>
      <c r="E106" s="41" t="inlineStr">
        <is>
          <t>コーチ閲覧のみ</t>
        </is>
      </c>
      <c r="F106" s="41" t="inlineStr">
        <is>
          <t>P3</t>
        </is>
      </c>
    </row>
    <row r="107">
      <c r="A107" s="41" t="inlineStr">
        <is>
          <t>roleplay_consent(F-S7-4再)</t>
        </is>
      </c>
      <c r="B107" s="41" t="inlineStr">
        <is>
          <t>review_only</t>
        </is>
      </c>
      <c r="C107" s="41" t="inlineStr">
        <is>
          <t>team_blurred</t>
        </is>
      </c>
      <c r="D107" s="41" t="inlineStr">
        <is>
          <t>ユーザがアップグレード</t>
        </is>
      </c>
      <c r="E107" s="41" t="inlineStr">
        <is>
          <t>氏名blur共有</t>
        </is>
      </c>
      <c r="F107" s="41" t="inlineStr">
        <is>
          <t>P3</t>
        </is>
      </c>
    </row>
    <row r="108">
      <c r="A108" s="41" t="inlineStr">
        <is>
          <t>roleplay_consent(F-S7-4再)</t>
        </is>
      </c>
      <c r="B108" s="41" t="inlineStr">
        <is>
          <t>review_only</t>
        </is>
      </c>
      <c r="C108" s="41" t="inlineStr">
        <is>
          <t>full_share</t>
        </is>
      </c>
      <c r="D108" s="41" t="inlineStr">
        <is>
          <t>ユーザがアップグレード</t>
        </is>
      </c>
      <c r="E108" s="41" t="inlineStr">
        <is>
          <t>完全共有</t>
        </is>
      </c>
      <c r="F108" s="41" t="inlineStr">
        <is>
          <t>P3</t>
        </is>
      </c>
    </row>
    <row r="110">
      <c r="A110" s="41" t="inlineStr">
        <is>
          <t>■ v2.5 追加(R3 minor)</t>
        </is>
      </c>
      <c r="B110" s="41" t="n"/>
      <c r="C110" s="41" t="n"/>
      <c r="D110" s="41" t="n"/>
      <c r="E110" s="41" t="n"/>
      <c r="F110" s="41" t="n"/>
    </row>
    <row r="111">
      <c r="A111" s="41" t="inlineStr">
        <is>
          <t>対象</t>
        </is>
      </c>
      <c r="B111" s="41" t="inlineStr">
        <is>
          <t>状態</t>
        </is>
      </c>
      <c r="C111" s="41" t="inlineStr">
        <is>
          <t>遷移先</t>
        </is>
      </c>
      <c r="D111" s="41" t="inlineStr">
        <is>
          <t>条件/イベント</t>
        </is>
      </c>
      <c r="E111" s="41" t="inlineStr">
        <is>
          <t>副作用</t>
        </is>
      </c>
      <c r="F111" s="41" t="inlineStr">
        <is>
          <t>Phase</t>
        </is>
      </c>
    </row>
    <row r="112">
      <c r="A112" s="41" t="inlineStr">
        <is>
          <t>pre_consent_buffer(NF3-S4-1)</t>
        </is>
      </c>
      <c r="B112" s="41" t="inlineStr">
        <is>
          <t>verbal_locked</t>
        </is>
      </c>
      <c r="C112" s="41" t="inlineStr">
        <is>
          <t>verbal_locked(extended)</t>
        </is>
      </c>
      <c r="D112" s="41" t="inlineStr">
        <is>
          <t>ユーザ申請+承認</t>
        </is>
      </c>
      <c r="E112" s="41" t="inlineStr">
        <is>
          <t>extension_count++ (最大3)+log</t>
        </is>
      </c>
      <c r="F112" s="41" t="inlineStr">
        <is>
          <t>P2</t>
        </is>
      </c>
    </row>
    <row r="113">
      <c r="A113" s="41" t="inlineStr">
        <is>
          <t>pre_consent_buffer(NF3-S4-1)</t>
        </is>
      </c>
      <c r="B113" s="41" t="inlineStr">
        <is>
          <t>verbal_locked</t>
        </is>
      </c>
      <c r="C113" s="41" t="inlineStr">
        <is>
          <t>auto_purged</t>
        </is>
      </c>
      <c r="D113" s="41" t="inlineStr">
        <is>
          <t>extension_count&gt;3 or 期限超</t>
        </is>
      </c>
      <c r="E113" s="41" t="inlineStr">
        <is>
          <t>物理削除+admin通知</t>
        </is>
      </c>
      <c r="F113" s="41" t="inlineStr">
        <is>
          <t>P2</t>
        </is>
      </c>
    </row>
    <row r="114">
      <c r="A114" s="41" t="inlineStr">
        <is>
          <t>roleplay_consent(NF3-S7-1)</t>
        </is>
      </c>
      <c r="B114" s="41" t="inlineStr">
        <is>
          <t>full_share</t>
        </is>
      </c>
      <c r="C114" s="41" t="inlineStr">
        <is>
          <t>team_blurred(downgrade)</t>
        </is>
      </c>
      <c r="D114" s="41" t="inlineStr">
        <is>
          <t>ユーザがdowngrade</t>
        </is>
      </c>
      <c r="E114" s="41" t="inlineStr">
        <is>
          <t>既存視聴履歴保持+未視聴クリップのみ再ぼかし(q_roleplay_clip_reencode)</t>
        </is>
      </c>
      <c r="F114" s="41" t="inlineStr">
        <is>
          <t>P3</t>
        </is>
      </c>
    </row>
    <row r="115">
      <c r="A115" s="41" t="inlineStr">
        <is>
          <t>roleplay_consent(NF3-S7-1)</t>
        </is>
      </c>
      <c r="B115" s="41" t="inlineStr">
        <is>
          <t>team_blurred</t>
        </is>
      </c>
      <c r="C115" s="41" t="inlineStr">
        <is>
          <t>review_only(downgrade)</t>
        </is>
      </c>
      <c r="D115" s="41" t="inlineStr">
        <is>
          <t>ユーザがdowngrade</t>
        </is>
      </c>
      <c r="E115" s="41" t="inlineStr">
        <is>
          <t>視聴権限縮小+audit</t>
        </is>
      </c>
      <c r="F115" s="41" t="inlineStr">
        <is>
          <t>P3</t>
        </is>
      </c>
    </row>
    <row r="116">
      <c r="A116" s="41" t="inlineStr">
        <is>
          <t>taxonomy_change(NF3-S9-1)</t>
        </is>
      </c>
      <c r="B116" s="41" t="inlineStr">
        <is>
          <t>archived</t>
        </is>
      </c>
      <c r="C116" s="41" t="inlineStr">
        <is>
          <t>migrated</t>
        </is>
      </c>
      <c r="D116" s="41" t="inlineStr">
        <is>
          <t>代替版へmigration</t>
        </is>
      </c>
      <c r="E116" s="41" t="inlineStr">
        <is>
          <t>紐付契約のtaxonomy_id更新</t>
        </is>
      </c>
      <c r="F116" s="41" t="inlineStr">
        <is>
          <t>P3</t>
        </is>
      </c>
    </row>
    <row r="117">
      <c r="A117" s="41" t="inlineStr">
        <is>
          <t>taxonomy_change(NF3-S9-1)</t>
        </is>
      </c>
      <c r="B117" s="41" t="inlineStr">
        <is>
          <t>archived</t>
        </is>
      </c>
      <c r="C117" s="41" t="inlineStr">
        <is>
          <t>read_only_retained</t>
        </is>
      </c>
      <c r="D117" s="41" t="inlineStr">
        <is>
          <t>migration不要</t>
        </is>
      </c>
      <c r="E117" s="41" t="inlineStr">
        <is>
          <t>新規作成のみ不可・参照は維持</t>
        </is>
      </c>
      <c r="F117" s="41" t="inlineStr">
        <is>
          <t>P3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8" customWidth="1" style="28" min="1" max="1"/>
    <col width="35" customWidth="1" style="28" min="2" max="2"/>
    <col width="14" customWidth="1" style="28" min="3" max="3"/>
    <col width="14" customWidth="1" style="28" min="4" max="4"/>
    <col width="14" customWidth="1" style="28" min="5" max="5"/>
    <col width="18" customWidth="1" style="28" min="6" max="6"/>
    <col width="18" customWidth="1" style="28" min="7" max="7"/>
    <col width="30" customWidth="1" style="28" min="8" max="8"/>
  </cols>
  <sheetData>
    <row r="1">
      <c r="A1" s="56" t="inlineStr">
        <is>
          <t>現場UX補完(14シーン総覧)</t>
        </is>
      </c>
    </row>
    <row r="2">
      <c r="A2" s="57" t="inlineStr">
        <is>
          <t>各シーンのギャップ→対応US/SC/AP/ジョブ/テーブルへのトレーサビリティ</t>
        </is>
      </c>
    </row>
    <row r="4">
      <c r="A4" s="58" t="inlineStr">
        <is>
          <t>シーン</t>
        </is>
      </c>
      <c r="B4" s="58" t="inlineStr">
        <is>
          <t>ギャップ</t>
        </is>
      </c>
      <c r="C4" s="58" t="inlineStr">
        <is>
          <t>対応(US)</t>
        </is>
      </c>
      <c r="D4" s="58" t="inlineStr">
        <is>
          <t>対応(SC)</t>
        </is>
      </c>
      <c r="E4" s="58" t="inlineStr">
        <is>
          <t>対応(AP)</t>
        </is>
      </c>
      <c r="F4" s="58" t="inlineStr">
        <is>
          <t>対応(ジョブ)</t>
        </is>
      </c>
      <c r="G4" s="58" t="inlineStr">
        <is>
          <t>対応(テーブル)</t>
        </is>
      </c>
      <c r="H4" s="58" t="inlineStr">
        <is>
          <t>受け入れ条件</t>
        </is>
      </c>
    </row>
    <row r="5">
      <c r="A5" s="59" t="inlineStr">
        <is>
          <t>S1: 名刺(現場)</t>
        </is>
      </c>
      <c r="B5" s="59" t="inlineStr">
        <is>
          <t>片手/暗所/反射</t>
        </is>
      </c>
      <c r="C5" s="59" t="inlineStr">
        <is>
          <t>US-21</t>
        </is>
      </c>
      <c r="D5" s="59" t="inlineStr">
        <is>
          <t>SC-33</t>
        </is>
      </c>
      <c r="E5" s="59" t="inlineStr">
        <is>
          <t>AP-50</t>
        </is>
      </c>
      <c r="F5" s="59" t="inlineStr">
        <is>
          <t>-</t>
        </is>
      </c>
      <c r="G5" s="59" t="inlineStr">
        <is>
          <t>business_card_images</t>
        </is>
      </c>
      <c r="H5" s="59" t="inlineStr">
        <is>
          <t>暗所/反射時もOCR confidence&gt;=0.7 or 確認UI</t>
        </is>
      </c>
    </row>
    <row r="6">
      <c r="A6" s="59" t="inlineStr">
        <is>
          <t>S1: 名刺(現場)</t>
        </is>
      </c>
      <c r="B6" s="59" t="inlineStr">
        <is>
          <t>両面名刺(QR)</t>
        </is>
      </c>
      <c r="C6" s="59" t="inlineStr">
        <is>
          <t>US-22</t>
        </is>
      </c>
      <c r="D6" s="59" t="inlineStr">
        <is>
          <t>SC-33</t>
        </is>
      </c>
      <c r="E6" s="59" t="inlineStr">
        <is>
          <t>AP-50,AP-51</t>
        </is>
      </c>
      <c r="F6" s="59" t="inlineStr">
        <is>
          <t>-</t>
        </is>
      </c>
      <c r="G6" s="59" t="inlineStr">
        <is>
          <t>business_card_images(side)</t>
        </is>
      </c>
      <c r="H6" s="59" t="inlineStr">
        <is>
          <t>裏面追加→1コンタクトに紐付け</t>
        </is>
      </c>
    </row>
    <row r="7">
      <c r="A7" s="59" t="inlineStr">
        <is>
          <t>S1: 名刺(現場)</t>
        </is>
      </c>
      <c r="B7" s="59" t="inlineStr">
        <is>
          <t>非名刺混入</t>
        </is>
      </c>
      <c r="C7" s="59" t="inlineStr">
        <is>
          <t>US-23</t>
        </is>
      </c>
      <c r="D7" s="59" t="inlineStr">
        <is>
          <t>SC-33</t>
        </is>
      </c>
      <c r="E7" s="59" t="inlineStr">
        <is>
          <t>AP-50(classification)</t>
        </is>
      </c>
      <c r="F7" s="59" t="inlineStr">
        <is>
          <t>-</t>
        </is>
      </c>
      <c r="G7" s="59" t="inlineStr">
        <is>
          <t>non_card_attachments</t>
        </is>
      </c>
      <c r="H7" s="59" t="inlineStr">
        <is>
          <t>非名刺はnon_card_attachmentsに格納+UI明示</t>
        </is>
      </c>
    </row>
    <row r="8">
      <c r="A8" s="59" t="inlineStr">
        <is>
          <t>S1: 名刺(現場)</t>
        </is>
      </c>
      <c r="B8" s="59" t="inlineStr">
        <is>
          <t>会場検索</t>
        </is>
      </c>
      <c r="C8" s="59" t="inlineStr">
        <is>
          <t>US-24</t>
        </is>
      </c>
      <c r="D8" s="59" t="inlineStr">
        <is>
          <t>SC-35</t>
        </is>
      </c>
      <c r="E8" s="59" t="inlineStr">
        <is>
          <t>AP-55</t>
        </is>
      </c>
      <c r="F8" s="59" t="inlineStr">
        <is>
          <t>-</t>
        </is>
      </c>
      <c r="G8" s="59" t="inlineStr">
        <is>
          <t>contacts(index)</t>
        </is>
      </c>
      <c r="H8" s="59" t="inlineStr">
        <is>
          <t>オフライン優先で&lt;200ms</t>
        </is>
      </c>
    </row>
    <row r="9">
      <c r="A9" s="59" t="inlineStr">
        <is>
          <t>S1: 名刺(現場)</t>
        </is>
      </c>
      <c r="B9" s="59" t="inlineStr">
        <is>
          <t>オフライン取り込み</t>
        </is>
      </c>
      <c r="C9" s="59" t="inlineStr">
        <is>
          <t>US-25</t>
        </is>
      </c>
      <c r="D9" s="59" t="inlineStr">
        <is>
          <t>SC-34</t>
        </is>
      </c>
      <c r="E9" s="59" t="inlineStr">
        <is>
          <t>AP-53,AP-54</t>
        </is>
      </c>
      <c r="F9" s="59" t="inlineStr">
        <is>
          <t>q_offline_sync</t>
        </is>
      </c>
      <c r="G9" s="59" t="inlineStr">
        <is>
          <t>offline_queue</t>
        </is>
      </c>
      <c r="H9" s="59" t="inlineStr">
        <is>
          <t>100件まで保持・自動同期成功率99%</t>
        </is>
      </c>
    </row>
    <row r="10">
      <c r="A10" s="59" t="inlineStr">
        <is>
          <t>S1: 名刺(現場)</t>
        </is>
      </c>
      <c r="B10" s="59" t="inlineStr">
        <is>
          <t>音声/手書きメモ</t>
        </is>
      </c>
      <c r="C10" s="59" t="inlineStr">
        <is>
          <t>US-26</t>
        </is>
      </c>
      <c r="D10" s="59" t="inlineStr">
        <is>
          <t>SC-33</t>
        </is>
      </c>
      <c r="E10" s="59" t="inlineStr">
        <is>
          <t>AP-52,AP-98</t>
        </is>
      </c>
      <c r="F10" s="59" t="inlineStr">
        <is>
          <t>q_voice_memo_transcribe</t>
        </is>
      </c>
      <c r="G10" s="59" t="inlineStr">
        <is>
          <t>contact_memos,voice_memos</t>
        </is>
      </c>
      <c r="H10" s="59" t="inlineStr">
        <is>
          <t>60秒上限・文字起こし精度測定</t>
        </is>
      </c>
    </row>
    <row r="11">
      <c r="A11" s="59" t="inlineStr">
        <is>
          <t>S1: 名刺(現場)</t>
        </is>
      </c>
      <c r="B11" s="59" t="inlineStr">
        <is>
          <t>イベント一括タグ</t>
        </is>
      </c>
      <c r="C11" s="59" t="inlineStr">
        <is>
          <t>US-27</t>
        </is>
      </c>
      <c r="D11" s="59" t="inlineStr">
        <is>
          <t>SC-33,SC-36</t>
        </is>
      </c>
      <c r="E11" s="59" t="inlineStr">
        <is>
          <t>AP-56</t>
        </is>
      </c>
      <c r="F11" s="59" t="inlineStr">
        <is>
          <t>q_event_tag_propagate</t>
        </is>
      </c>
      <c r="G11" s="59" t="inlineStr">
        <is>
          <t>events,contact_event_tags</t>
        </is>
      </c>
      <c r="H11" s="59" t="inlineStr">
        <is>
          <t>イベント選択→自動付与</t>
        </is>
      </c>
    </row>
    <row r="12">
      <c r="A12" s="59" t="inlineStr">
        <is>
          <t>S1: 名刺(現場)</t>
        </is>
      </c>
      <c r="B12" s="59" t="inlineStr">
        <is>
          <t>OCR誤認識</t>
        </is>
      </c>
      <c r="C12" s="59" t="inlineStr">
        <is>
          <t>US-28</t>
        </is>
      </c>
      <c r="D12" s="59" t="inlineStr">
        <is>
          <t>SC-08(改修)</t>
        </is>
      </c>
      <c r="E12" s="59" t="inlineStr">
        <is>
          <t>AP-50(LP-10)</t>
        </is>
      </c>
      <c r="F12" s="59" t="inlineStr">
        <is>
          <t>-</t>
        </is>
      </c>
      <c r="G12" s="59" t="inlineStr">
        <is>
          <t>contacts</t>
        </is>
      </c>
      <c r="H12" s="59" t="inlineStr">
        <is>
          <t>低信頼度はハイライト・確認UI</t>
        </is>
      </c>
    </row>
    <row r="13">
      <c r="A13" s="59" t="inlineStr">
        <is>
          <t>S2: アポ取り</t>
        </is>
      </c>
      <c r="B13" s="59" t="inlineStr">
        <is>
          <t>上司同席合意</t>
        </is>
      </c>
      <c r="C13" s="59" t="inlineStr">
        <is>
          <t>US-29</t>
        </is>
      </c>
      <c r="D13" s="59" t="inlineStr">
        <is>
          <t>SC-37</t>
        </is>
      </c>
      <c r="E13" s="59" t="inlineStr">
        <is>
          <t>AP-57,AP-58,AP-59</t>
        </is>
      </c>
      <c r="F13" s="59" t="inlineStr">
        <is>
          <t>q_internal_invite_timeout</t>
        </is>
      </c>
      <c r="G13" s="59" t="inlineStr">
        <is>
          <t>internal_attendee_invites</t>
        </is>
      </c>
      <c r="H13" s="59" t="inlineStr">
        <is>
          <t>accept済みのみカレンダー登録</t>
        </is>
      </c>
    </row>
    <row r="14">
      <c r="A14" s="59" t="inlineStr">
        <is>
          <t>S2: アポ取り</t>
        </is>
      </c>
      <c r="B14" s="59" t="inlineStr">
        <is>
          <t>業務時間外排除</t>
        </is>
      </c>
      <c r="C14" s="59" t="inlineStr">
        <is>
          <t>US-30</t>
        </is>
      </c>
      <c r="D14" s="59" t="inlineStr">
        <is>
          <t>SC-38</t>
        </is>
      </c>
      <c r="E14" s="59" t="inlineStr">
        <is>
          <t>AP-60,AP-61</t>
        </is>
      </c>
      <c r="F14" s="59" t="inlineStr">
        <is>
          <t>-</t>
        </is>
      </c>
      <c r="G14" s="59" t="inlineStr">
        <is>
          <t>user_availability_settings</t>
        </is>
      </c>
      <c r="H14" s="59" t="inlineStr">
        <is>
          <t>work_hours外は候補から除外</t>
        </is>
      </c>
    </row>
    <row r="15">
      <c r="A15" s="59" t="inlineStr">
        <is>
          <t>S2: アポ取り</t>
        </is>
      </c>
      <c r="B15" s="59" t="inlineStr">
        <is>
          <t>顧客TZ</t>
        </is>
      </c>
      <c r="C15" s="59" t="inlineStr">
        <is>
          <t>US-31</t>
        </is>
      </c>
      <c r="D15" s="59" t="inlineStr">
        <is>
          <t>SC-13(改修)</t>
        </is>
      </c>
      <c r="E15" s="59" t="inlineStr">
        <is>
          <t>AP-60</t>
        </is>
      </c>
      <c r="F15" s="59" t="inlineStr">
        <is>
          <t>-</t>
        </is>
      </c>
      <c r="G15" s="59" t="inlineStr">
        <is>
          <t>customer_timezones</t>
        </is>
      </c>
      <c r="H15" s="59" t="inlineStr">
        <is>
          <t>両TZ併記・ICS guest TZ</t>
        </is>
      </c>
    </row>
    <row r="16">
      <c r="A16" s="59" t="inlineStr">
        <is>
          <t>S2: アポ取り</t>
        </is>
      </c>
      <c r="B16" s="59" t="inlineStr">
        <is>
          <t>会議室予約</t>
        </is>
      </c>
      <c r="C16" s="59" t="inlineStr">
        <is>
          <t>US-32</t>
        </is>
      </c>
      <c r="D16" s="59" t="inlineStr">
        <is>
          <t>SC-10(改修)</t>
        </is>
      </c>
      <c r="E16" s="59" t="inlineStr">
        <is>
          <t>AP-60</t>
        </is>
      </c>
      <c r="F16" s="59" t="inlineStr">
        <is>
          <t>-</t>
        </is>
      </c>
      <c r="G16" s="59" t="inlineStr">
        <is>
          <t>meeting_rooms,room_reservations</t>
        </is>
      </c>
      <c r="H16" s="59" t="inlineStr">
        <is>
          <t>onsiteは会議室付候補のみ</t>
        </is>
      </c>
    </row>
    <row r="17">
      <c r="A17" s="59" t="inlineStr">
        <is>
          <t>S2: アポ取り</t>
        </is>
      </c>
      <c r="B17" s="59" t="inlineStr">
        <is>
          <t>オン/対面分岐</t>
        </is>
      </c>
      <c r="C17" s="59" t="inlineStr">
        <is>
          <t>US-33</t>
        </is>
      </c>
      <c r="D17" s="59" t="inlineStr">
        <is>
          <t>SC-10</t>
        </is>
      </c>
      <c r="E17" s="59" t="inlineStr">
        <is>
          <t>AP-60</t>
        </is>
      </c>
      <c r="F17" s="59" t="inlineStr">
        <is>
          <t>-</t>
        </is>
      </c>
      <c r="G17" s="59" t="inlineStr">
        <is>
          <t>meetings.location_type</t>
        </is>
      </c>
      <c r="H17" s="59" t="inlineStr">
        <is>
          <t>onsite住所必須+online自動Zoom</t>
        </is>
      </c>
    </row>
    <row r="18">
      <c r="A18" s="59" t="inlineStr">
        <is>
          <t>S2: アポ取り</t>
        </is>
      </c>
      <c r="B18" s="59" t="inlineStr">
        <is>
          <t>Calendly風UI</t>
        </is>
      </c>
      <c r="C18" s="59" t="inlineStr">
        <is>
          <t>US-34</t>
        </is>
      </c>
      <c r="D18" s="59" t="inlineStr">
        <is>
          <t>SC-39</t>
        </is>
      </c>
      <c r="E18" s="59" t="inlineStr">
        <is>
          <t>AP-60</t>
        </is>
      </c>
      <c r="F18" s="59" t="inlineStr">
        <is>
          <t>-</t>
        </is>
      </c>
      <c r="G18" s="59" t="inlineStr">
        <is>
          <t>share_links</t>
        </is>
      </c>
      <c r="H18" s="59" t="inlineStr">
        <is>
          <t>顧客1クリック確定</t>
        </is>
      </c>
    </row>
    <row r="19">
      <c r="A19" s="59" t="inlineStr">
        <is>
          <t>S2: アポ取り</t>
        </is>
      </c>
      <c r="B19" s="59" t="inlineStr">
        <is>
          <t>仮押さえ</t>
        </is>
      </c>
      <c r="C19" s="59" t="inlineStr">
        <is>
          <t>US-35</t>
        </is>
      </c>
      <c r="D19" s="59" t="inlineStr">
        <is>
          <t>SC-10</t>
        </is>
      </c>
      <c r="E19" s="59" t="inlineStr">
        <is>
          <t>AP-62,AP-63</t>
        </is>
      </c>
      <c r="F19" s="59" t="inlineStr">
        <is>
          <t>q_calendar_hold_release</t>
        </is>
      </c>
      <c r="G19" s="59" t="inlineStr">
        <is>
          <t>calendar_holds</t>
        </is>
      </c>
      <c r="H19" s="59" t="inlineStr">
        <is>
          <t>送信時hold→確定/解放</t>
        </is>
      </c>
    </row>
    <row r="20">
      <c r="A20" s="59" t="inlineStr">
        <is>
          <t>S2: アポ取り</t>
        </is>
      </c>
      <c r="B20" s="59" t="inlineStr">
        <is>
          <t>重複アプローチ</t>
        </is>
      </c>
      <c r="C20" s="59" t="inlineStr">
        <is>
          <t>US-36</t>
        </is>
      </c>
      <c r="D20" s="59" t="inlineStr">
        <is>
          <t>SC-10</t>
        </is>
      </c>
      <c r="E20" s="59" t="inlineStr">
        <is>
          <t>-</t>
        </is>
      </c>
      <c r="F20" s="59" t="inlineStr">
        <is>
          <t>-</t>
        </is>
      </c>
      <c r="G20" s="59" t="inlineStr">
        <is>
          <t>meeting_duplicates</t>
        </is>
      </c>
      <c r="H20" s="59" t="inlineStr">
        <is>
          <t>他営業接触履歴あり時に警告</t>
        </is>
      </c>
    </row>
    <row r="21">
      <c r="A21" s="59" t="inlineStr">
        <is>
          <t>S2: アポ取り</t>
        </is>
      </c>
      <c r="B21" s="59" t="inlineStr">
        <is>
          <t>代理メール</t>
        </is>
      </c>
      <c r="C21" s="59" t="inlineStr">
        <is>
          <t>US-37</t>
        </is>
      </c>
      <c r="D21" s="59" t="inlineStr">
        <is>
          <t>SC-40</t>
        </is>
      </c>
      <c r="E21" s="59" t="inlineStr">
        <is>
          <t>-</t>
        </is>
      </c>
      <c r="F21" s="59" t="inlineStr">
        <is>
          <t>-</t>
        </is>
      </c>
      <c r="G21" s="59" t="inlineStr">
        <is>
          <t>delegate_grants</t>
        </is>
      </c>
      <c r="H21" s="59" t="inlineStr">
        <is>
          <t>scope限定+audit</t>
        </is>
      </c>
    </row>
    <row r="22">
      <c r="A22" s="59" t="inlineStr">
        <is>
          <t>S3: 返信パース</t>
        </is>
      </c>
      <c r="B22" s="59" t="inlineStr">
        <is>
          <t>全NG</t>
        </is>
      </c>
      <c r="C22" s="59" t="inlineStr">
        <is>
          <t>US-38</t>
        </is>
      </c>
      <c r="D22" s="59" t="inlineStr">
        <is>
          <t>SC-41</t>
        </is>
      </c>
      <c r="E22" s="59" t="inlineStr">
        <is>
          <t>AP-65</t>
        </is>
      </c>
      <c r="F22" s="59" t="inlineStr">
        <is>
          <t>q_scheduling_redraft</t>
        </is>
      </c>
      <c r="G22" s="59" t="inlineStr">
        <is>
          <t>scheduling_proposals</t>
        </is>
      </c>
      <c r="H22" s="59" t="inlineStr">
        <is>
          <t>auto-redraft成功率&gt;=80%</t>
        </is>
      </c>
    </row>
    <row r="23">
      <c r="A23" s="59" t="inlineStr">
        <is>
          <t>S3: 返信パース</t>
        </is>
      </c>
      <c r="B23" s="59" t="inlineStr">
        <is>
          <t>電話/訪問意図</t>
        </is>
      </c>
      <c r="C23" s="59" t="inlineStr">
        <is>
          <t>US-39</t>
        </is>
      </c>
      <c r="D23" s="59" t="inlineStr">
        <is>
          <t>SC-41</t>
        </is>
      </c>
      <c r="E23" s="59" t="inlineStr">
        <is>
          <t>AP-64</t>
        </is>
      </c>
      <c r="F23" s="59" t="inlineStr">
        <is>
          <t>-</t>
        </is>
      </c>
      <c r="G23" s="59" t="inlineStr">
        <is>
          <t>email_intents</t>
        </is>
      </c>
      <c r="H23" s="59" t="inlineStr">
        <is>
          <t>intent分類&gt;=0.7信頼度で自動分岐</t>
        </is>
      </c>
    </row>
    <row r="24">
      <c r="A24" s="59" t="inlineStr">
        <is>
          <t>S3: 返信パース</t>
        </is>
      </c>
      <c r="B24" s="59" t="inlineStr">
        <is>
          <t>CC追加</t>
        </is>
      </c>
      <c r="C24" s="59" t="inlineStr">
        <is>
          <t>US-40</t>
        </is>
      </c>
      <c r="D24" s="59" t="inlineStr">
        <is>
          <t>SC-41</t>
        </is>
      </c>
      <c r="E24" s="59" t="inlineStr">
        <is>
          <t>AP-64</t>
        </is>
      </c>
      <c r="F24" s="59" t="inlineStr">
        <is>
          <t>-</t>
        </is>
      </c>
      <c r="G24" s="59" t="inlineStr">
        <is>
          <t>email_intents,meeting_attendees</t>
        </is>
      </c>
      <c r="H24" s="59" t="inlineStr">
        <is>
          <t>検出時に確認UI</t>
        </is>
      </c>
    </row>
    <row r="25">
      <c r="A25" s="59" t="inlineStr">
        <is>
          <t>S3: 返信パース</t>
        </is>
      </c>
      <c r="B25" s="59" t="inlineStr">
        <is>
          <t>添付振り分け</t>
        </is>
      </c>
      <c r="C25" s="59" t="inlineStr">
        <is>
          <t>US-41</t>
        </is>
      </c>
      <c r="D25" s="59" t="inlineStr">
        <is>
          <t>SC-44(改修)</t>
        </is>
      </c>
      <c r="E25" s="59" t="inlineStr">
        <is>
          <t>-</t>
        </is>
      </c>
      <c r="F25" s="59" t="inlineStr">
        <is>
          <t>-</t>
        </is>
      </c>
      <c r="G25" s="59" t="inlineStr">
        <is>
          <t>email_attachments</t>
        </is>
      </c>
      <c r="H25" s="59" t="inlineStr">
        <is>
          <t>NDA/RFP自動分類</t>
        </is>
      </c>
    </row>
    <row r="26">
      <c r="A26" s="59" t="inlineStr">
        <is>
          <t>S3: 返信パース</t>
        </is>
      </c>
      <c r="B26" s="59" t="inlineStr">
        <is>
          <t>状態機械</t>
        </is>
      </c>
      <c r="C26" s="59" t="inlineStr">
        <is>
          <t>RD-65/US-104</t>
        </is>
      </c>
      <c r="D26" s="59" t="inlineStr">
        <is>
          <t>-</t>
        </is>
      </c>
      <c r="E26" s="59" t="inlineStr">
        <is>
          <t>-</t>
        </is>
      </c>
      <c r="F26" s="59" t="inlineStr">
        <is>
          <t>-</t>
        </is>
      </c>
      <c r="G26" s="59" t="inlineStr">
        <is>
          <t>-</t>
        </is>
      </c>
      <c r="H26" s="59" t="inlineStr">
        <is>
          <t>14_state_machinesに準拠</t>
        </is>
      </c>
    </row>
    <row r="27">
      <c r="A27" s="59" t="inlineStr">
        <is>
          <t>S3: 返信パース</t>
        </is>
      </c>
      <c r="B27" s="59" t="inlineStr">
        <is>
          <t>別スレッド</t>
        </is>
      </c>
      <c r="C27" s="59" t="inlineStr">
        <is>
          <t>US-42</t>
        </is>
      </c>
      <c r="D27" s="59" t="inlineStr">
        <is>
          <t>SC-41</t>
        </is>
      </c>
      <c r="E27" s="59" t="inlineStr">
        <is>
          <t>-</t>
        </is>
      </c>
      <c r="F27" s="59" t="inlineStr">
        <is>
          <t>-</t>
        </is>
      </c>
      <c r="G27" s="59" t="inlineStr">
        <is>
          <t>thread_merge_log</t>
        </is>
      </c>
      <c r="H27" s="59" t="inlineStr">
        <is>
          <t>References/Subjectで吸収</t>
        </is>
      </c>
    </row>
    <row r="28">
      <c r="A28" s="59" t="inlineStr">
        <is>
          <t>S3: 返信パース</t>
        </is>
      </c>
      <c r="B28" s="59" t="inlineStr">
        <is>
          <t>確定後リスケ</t>
        </is>
      </c>
      <c r="C28" s="59" t="inlineStr">
        <is>
          <t>US-43</t>
        </is>
      </c>
      <c r="D28" s="59" t="inlineStr">
        <is>
          <t>SC-11</t>
        </is>
      </c>
      <c r="E28" s="59" t="inlineStr">
        <is>
          <t>AP-66</t>
        </is>
      </c>
      <c r="F28" s="59" t="inlineStr">
        <is>
          <t>-</t>
        </is>
      </c>
      <c r="G28" s="59" t="inlineStr">
        <is>
          <t>scheduling_proposals(state)</t>
        </is>
      </c>
      <c r="H28" s="59" t="inlineStr">
        <is>
          <t>reschedule検出→専用フロー</t>
        </is>
      </c>
    </row>
    <row r="29">
      <c r="A29" s="59" t="inlineStr">
        <is>
          <t>S4: 商談直前/中</t>
        </is>
      </c>
      <c r="B29" s="59" t="inlineStr">
        <is>
          <t>ブリーフィング</t>
        </is>
      </c>
      <c r="C29" s="59" t="inlineStr">
        <is>
          <t>US-44</t>
        </is>
      </c>
      <c r="D29" s="59" t="inlineStr">
        <is>
          <t>SC-42</t>
        </is>
      </c>
      <c r="E29" s="59" t="inlineStr">
        <is>
          <t>AP-67</t>
        </is>
      </c>
      <c r="F29" s="59" t="inlineStr">
        <is>
          <t>q_meeting_brief</t>
        </is>
      </c>
      <c r="G29" s="59" t="inlineStr">
        <is>
          <t>meeting_briefs</t>
        </is>
      </c>
      <c r="H29" s="59" t="inlineStr">
        <is>
          <t>5分前push+ブリーフ画面</t>
        </is>
      </c>
    </row>
    <row r="30">
      <c r="A30" s="59" t="inlineStr">
        <is>
          <t>S4: 商談直前/中</t>
        </is>
      </c>
      <c r="B30" s="59" t="inlineStr">
        <is>
          <t>Zoom 1クリック</t>
        </is>
      </c>
      <c r="C30" s="59" t="inlineStr">
        <is>
          <t>US-45</t>
        </is>
      </c>
      <c r="D30" s="59" t="inlineStr">
        <is>
          <t>SC-42</t>
        </is>
      </c>
      <c r="E30" s="59" t="inlineStr">
        <is>
          <t>-</t>
        </is>
      </c>
      <c r="F30" s="59" t="inlineStr">
        <is>
          <t>-</t>
        </is>
      </c>
      <c r="G30" s="59" t="inlineStr">
        <is>
          <t>meetings.zoom_join_url</t>
        </is>
      </c>
      <c r="H30" s="59" t="inlineStr">
        <is>
          <t>deep link</t>
        </is>
      </c>
    </row>
    <row r="31">
      <c r="A31" s="59" t="inlineStr">
        <is>
          <t>S4: 商談直前/中</t>
        </is>
      </c>
      <c r="B31" s="59" t="inlineStr">
        <is>
          <t>録画自動開始</t>
        </is>
      </c>
      <c r="C31" s="59" t="inlineStr">
        <is>
          <t>US-46</t>
        </is>
      </c>
      <c r="D31" s="59" t="inlineStr">
        <is>
          <t>SC-11</t>
        </is>
      </c>
      <c r="E31" s="59" t="inlineStr">
        <is>
          <t>-</t>
        </is>
      </c>
      <c r="F31" s="59" t="inlineStr">
        <is>
          <t>q_meeting_recording_force</t>
        </is>
      </c>
      <c r="G31" s="59" t="inlineStr">
        <is>
          <t>recordings</t>
        </is>
      </c>
      <c r="H31" s="59" t="inlineStr">
        <is>
          <t>auto_record強制+5分後検査</t>
        </is>
      </c>
    </row>
    <row r="32">
      <c r="A32" s="59" t="inlineStr">
        <is>
          <t>S4: 商談直前/中</t>
        </is>
      </c>
      <c r="B32" s="59" t="inlineStr">
        <is>
          <t>当日同席変更</t>
        </is>
      </c>
      <c r="C32" s="59" t="inlineStr">
        <is>
          <t>US-47</t>
        </is>
      </c>
      <c r="D32" s="59" t="inlineStr">
        <is>
          <t>SC-11</t>
        </is>
      </c>
      <c r="E32" s="59" t="inlineStr">
        <is>
          <t>-</t>
        </is>
      </c>
      <c r="F32" s="59" t="inlineStr">
        <is>
          <t>-</t>
        </is>
      </c>
      <c r="G32" s="59" t="inlineStr">
        <is>
          <t>meeting_attendees</t>
        </is>
      </c>
      <c r="H32" s="59" t="inlineStr">
        <is>
          <t>リアルタイム反映</t>
        </is>
      </c>
    </row>
    <row r="33">
      <c r="A33" s="59" t="inlineStr">
        <is>
          <t>S4: 商談直前/中</t>
        </is>
      </c>
      <c r="B33" s="59" t="inlineStr">
        <is>
          <t>未登録話者</t>
        </is>
      </c>
      <c r="C33" s="59" t="inlineStr">
        <is>
          <t>US-48</t>
        </is>
      </c>
      <c r="D33" s="59" t="inlineStr">
        <is>
          <t>SC-11</t>
        </is>
      </c>
      <c r="E33" s="59" t="inlineStr">
        <is>
          <t>-</t>
        </is>
      </c>
      <c r="F33" s="59" t="inlineStr">
        <is>
          <t>-</t>
        </is>
      </c>
      <c r="G33" s="59" t="inlineStr">
        <is>
          <t>recording_segments(speaker_id)</t>
        </is>
      </c>
      <c r="H33" s="59" t="inlineStr">
        <is>
          <t>後で命名→学習</t>
        </is>
      </c>
    </row>
    <row r="34">
      <c r="A34" s="59" t="inlineStr">
        <is>
          <t>S4: 商談直前/中</t>
        </is>
      </c>
      <c r="B34" s="59" t="inlineStr">
        <is>
          <t>商談中検索</t>
        </is>
      </c>
      <c r="C34" s="59" t="inlineStr">
        <is>
          <t>US-49</t>
        </is>
      </c>
      <c r="D34" s="59" t="inlineStr">
        <is>
          <t>SC-43</t>
        </is>
      </c>
      <c r="E34" s="59" t="inlineStr">
        <is>
          <t>AP-94</t>
        </is>
      </c>
      <c r="F34" s="59" t="inlineStr">
        <is>
          <t>-</t>
        </is>
      </c>
      <c r="G34" s="59" t="inlineStr">
        <is>
          <t>-</t>
        </is>
      </c>
      <c r="H34" s="59" t="inlineStr">
        <is>
          <t>期限付きURL+閲覧ログ</t>
        </is>
      </c>
    </row>
    <row r="35">
      <c r="A35" s="59" t="inlineStr">
        <is>
          <t>S4: 商談直前/中</t>
        </is>
      </c>
      <c r="B35" s="59" t="inlineStr">
        <is>
          <t>録画長乖離</t>
        </is>
      </c>
      <c r="C35" s="59" t="inlineStr">
        <is>
          <t>US-50</t>
        </is>
      </c>
      <c r="D35" s="59" t="inlineStr">
        <is>
          <t>-</t>
        </is>
      </c>
      <c r="E35" s="59" t="inlineStr">
        <is>
          <t>-</t>
        </is>
      </c>
      <c r="F35" s="59" t="inlineStr">
        <is>
          <t>-</t>
        </is>
      </c>
      <c r="G35" s="59" t="inlineStr">
        <is>
          <t>recordings</t>
        </is>
      </c>
      <c r="H35" s="59" t="inlineStr">
        <is>
          <t>延長/短縮を自動扱い</t>
        </is>
      </c>
    </row>
    <row r="36">
      <c r="A36" s="59" t="inlineStr">
        <is>
          <t>S5: 商談後</t>
        </is>
      </c>
      <c r="B36" s="59" t="inlineStr">
        <is>
          <t>段階処理</t>
        </is>
      </c>
      <c r="C36" s="59" t="inlineStr">
        <is>
          <t>US-51</t>
        </is>
      </c>
      <c r="D36" s="59" t="inlineStr">
        <is>
          <t>SC-11</t>
        </is>
      </c>
      <c r="E36" s="59" t="inlineStr">
        <is>
          <t>-</t>
        </is>
      </c>
      <c r="F36" s="59" t="inlineStr">
        <is>
          <t>q_recording_stage1/2/3</t>
        </is>
      </c>
      <c r="G36" s="59" t="inlineStr">
        <is>
          <t>recording_stages</t>
        </is>
      </c>
      <c r="H36" s="59" t="inlineStr">
        <is>
          <t>stage1&lt;=5分通知</t>
        </is>
      </c>
    </row>
    <row r="37">
      <c r="A37" s="59" t="inlineStr">
        <is>
          <t>S5: 商談後</t>
        </is>
      </c>
      <c r="B37" s="59" t="inlineStr">
        <is>
          <t>インライン編集</t>
        </is>
      </c>
      <c r="C37" s="59" t="inlineStr">
        <is>
          <t>US-52</t>
        </is>
      </c>
      <c r="D37" s="59" t="inlineStr">
        <is>
          <t>SC-17(改修)</t>
        </is>
      </c>
      <c r="E37" s="59" t="inlineStr">
        <is>
          <t>-</t>
        </is>
      </c>
      <c r="F37" s="59" t="inlineStr">
        <is>
          <t>-</t>
        </is>
      </c>
      <c r="G37" s="59" t="inlineStr">
        <is>
          <t>recording_segments</t>
        </is>
      </c>
      <c r="H37" s="59" t="inlineStr">
        <is>
          <t>検索結果から編集</t>
        </is>
      </c>
    </row>
    <row r="38">
      <c r="A38" s="59" t="inlineStr">
        <is>
          <t>S5: 商談後</t>
        </is>
      </c>
      <c r="B38" s="59" t="inlineStr">
        <is>
          <t>PIIマスキング</t>
        </is>
      </c>
      <c r="C38" s="59" t="inlineStr">
        <is>
          <t>US-53</t>
        </is>
      </c>
      <c r="D38" s="59" t="inlineStr">
        <is>
          <t>SC-31</t>
        </is>
      </c>
      <c r="E38" s="59" t="inlineStr">
        <is>
          <t>-</t>
        </is>
      </c>
      <c r="F38" s="59" t="inlineStr">
        <is>
          <t>q_pii_redaction</t>
        </is>
      </c>
      <c r="G38" s="59" t="inlineStr">
        <is>
          <t>pii_redactions</t>
        </is>
      </c>
      <c r="H38" s="59" t="inlineStr">
        <is>
          <t>共有時自動マスク</t>
        </is>
      </c>
    </row>
    <row r="39">
      <c r="A39" s="59" t="inlineStr">
        <is>
          <t>S5: 商談後</t>
        </is>
      </c>
      <c r="B39" s="59" t="inlineStr">
        <is>
          <t>sensitive化</t>
        </is>
      </c>
      <c r="C39" s="59" t="inlineStr">
        <is>
          <t>US-54</t>
        </is>
      </c>
      <c r="D39" s="59" t="inlineStr">
        <is>
          <t>SC-16</t>
        </is>
      </c>
      <c r="E39" s="59" t="inlineStr">
        <is>
          <t>AP-69</t>
        </is>
      </c>
      <c r="F39" s="59" t="inlineStr">
        <is>
          <t>-</t>
        </is>
      </c>
      <c r="G39" s="59" t="inlineStr">
        <is>
          <t>recording_segments(sensitivity)</t>
        </is>
      </c>
      <c r="H39" s="59" t="inlineStr">
        <is>
          <t>削除せず非公開</t>
        </is>
      </c>
    </row>
    <row r="40">
      <c r="A40" s="59" t="inlineStr">
        <is>
          <t>S5: 商談後</t>
        </is>
      </c>
      <c r="B40" s="59" t="inlineStr">
        <is>
          <t>重なり発話</t>
        </is>
      </c>
      <c r="C40" s="59" t="inlineStr">
        <is>
          <t>US-48,US-50</t>
        </is>
      </c>
      <c r="D40" s="59" t="inlineStr">
        <is>
          <t>SC-11</t>
        </is>
      </c>
      <c r="E40" s="59" t="inlineStr">
        <is>
          <t>-</t>
        </is>
      </c>
      <c r="F40" s="59" t="inlineStr">
        <is>
          <t>-</t>
        </is>
      </c>
      <c r="G40" s="59" t="inlineStr">
        <is>
          <t>recording_segments(overlap)</t>
        </is>
      </c>
      <c r="H40" s="59" t="inlineStr">
        <is>
          <t>色分け表示</t>
        </is>
      </c>
    </row>
    <row r="41">
      <c r="A41" s="59" t="inlineStr">
        <is>
          <t>S5: 商談後</t>
        </is>
      </c>
      <c r="B41" s="59" t="inlineStr">
        <is>
          <t>顧客向け要約</t>
        </is>
      </c>
      <c r="C41" s="59" t="inlineStr">
        <is>
          <t>US-55</t>
        </is>
      </c>
      <c r="D41" s="59" t="inlineStr">
        <is>
          <t>SC-44</t>
        </is>
      </c>
      <c r="E41" s="59" t="inlineStr">
        <is>
          <t>AP-71</t>
        </is>
      </c>
      <c r="F41" s="59" t="inlineStr">
        <is>
          <t>q_external_summary</t>
        </is>
      </c>
      <c r="G41" s="59" t="inlineStr">
        <is>
          <t>external_summaries</t>
        </is>
      </c>
      <c r="H41" s="59" t="inlineStr">
        <is>
          <t>社内メモ抜き</t>
        </is>
      </c>
    </row>
    <row r="42">
      <c r="A42" s="59" t="inlineStr">
        <is>
          <t>S6: クレーム</t>
        </is>
      </c>
      <c r="B42" s="59" t="inlineStr">
        <is>
          <t>30秒UX</t>
        </is>
      </c>
      <c r="C42" s="59" t="inlineStr">
        <is>
          <t>US-56</t>
        </is>
      </c>
      <c r="D42" s="59" t="inlineStr">
        <is>
          <t>SC-45</t>
        </is>
      </c>
      <c r="E42" s="59" t="inlineStr">
        <is>
          <t>AP-72</t>
        </is>
      </c>
      <c r="F42" s="59" t="inlineStr">
        <is>
          <t>q_quick_search_cache</t>
        </is>
      </c>
      <c r="G42" s="59" t="inlineStr">
        <is>
          <t>-</t>
        </is>
      </c>
      <c r="H42" s="59" t="inlineStr">
        <is>
          <t>顧客名→Top3&lt;3秒</t>
        </is>
      </c>
    </row>
    <row r="43">
      <c r="A43" s="59" t="inlineStr">
        <is>
          <t>S6: クレーム</t>
        </is>
      </c>
      <c r="B43" s="59" t="inlineStr">
        <is>
          <t>曖昧時系列</t>
        </is>
      </c>
      <c r="C43" s="59" t="inlineStr">
        <is>
          <t>US-57</t>
        </is>
      </c>
      <c r="D43" s="59" t="inlineStr">
        <is>
          <t>SC-17</t>
        </is>
      </c>
      <c r="E43" s="59" t="inlineStr">
        <is>
          <t>AP-94</t>
        </is>
      </c>
      <c r="F43" s="59" t="inlineStr">
        <is>
          <t>-</t>
        </is>
      </c>
      <c r="G43" s="59" t="inlineStr">
        <is>
          <t>-</t>
        </is>
      </c>
      <c r="H43" s="59" t="inlineStr">
        <is>
          <t>「○年○月頃」をdate range</t>
        </is>
      </c>
    </row>
    <row r="44">
      <c r="A44" s="59" t="inlineStr">
        <is>
          <t>S6: クレーム</t>
        </is>
      </c>
      <c r="B44" s="59" t="inlineStr">
        <is>
          <t>前後3分</t>
        </is>
      </c>
      <c r="C44" s="59" t="inlineStr">
        <is>
          <t>US-56</t>
        </is>
      </c>
      <c r="D44" s="59" t="inlineStr">
        <is>
          <t>SC-16</t>
        </is>
      </c>
      <c r="E44" s="59" t="inlineStr">
        <is>
          <t>-</t>
        </is>
      </c>
      <c r="F44" s="59" t="inlineStr">
        <is>
          <t>-</t>
        </is>
      </c>
      <c r="G44" s="59" t="inlineStr">
        <is>
          <t>-</t>
        </is>
      </c>
      <c r="H44" s="59" t="inlineStr">
        <is>
          <t>preview window=t±180s</t>
        </is>
      </c>
    </row>
    <row r="45">
      <c r="A45" s="59" t="inlineStr">
        <is>
          <t>S6: クレーム</t>
        </is>
      </c>
      <c r="B45" s="59" t="inlineStr">
        <is>
          <t>クリップ送信</t>
        </is>
      </c>
      <c r="C45" s="59" t="inlineStr">
        <is>
          <t>US-58</t>
        </is>
      </c>
      <c r="D45" s="59" t="inlineStr">
        <is>
          <t>SC-46</t>
        </is>
      </c>
      <c r="E45" s="59" t="inlineStr">
        <is>
          <t>AP-68</t>
        </is>
      </c>
      <c r="F45" s="59" t="inlineStr">
        <is>
          <t>-</t>
        </is>
      </c>
      <c r="G45" s="59" t="inlineStr">
        <is>
          <t>recording_clips</t>
        </is>
      </c>
      <c r="H45" s="59" t="inlineStr">
        <is>
          <t>期限付き+透かし</t>
        </is>
      </c>
    </row>
    <row r="46">
      <c r="A46" s="59" t="inlineStr">
        <is>
          <t>S6: クレーム</t>
        </is>
      </c>
      <c r="B46" s="59" t="inlineStr">
        <is>
          <t>商談紐付け</t>
        </is>
      </c>
      <c r="C46" s="59" t="inlineStr">
        <is>
          <t>US-59</t>
        </is>
      </c>
      <c r="D46" s="59" t="inlineStr">
        <is>
          <t>SC-54</t>
        </is>
      </c>
      <c r="E46" s="59" t="inlineStr">
        <is>
          <t>AP-73</t>
        </is>
      </c>
      <c r="F46" s="59" t="inlineStr">
        <is>
          <t>q_complaint_link</t>
        </is>
      </c>
      <c r="G46" s="59" t="inlineStr">
        <is>
          <t>complaints,complaint_meeting_links</t>
        </is>
      </c>
      <c r="H46" s="59" t="inlineStr">
        <is>
          <t>関連商談履歴に表示</t>
        </is>
      </c>
    </row>
    <row r="47">
      <c r="A47" s="59" t="inlineStr">
        <is>
          <t>S7: ロープレ</t>
        </is>
      </c>
      <c r="B47" s="59" t="inlineStr">
        <is>
          <t>シナリオ多様化</t>
        </is>
      </c>
      <c r="C47" s="59" t="inlineStr">
        <is>
          <t>US-60</t>
        </is>
      </c>
      <c r="D47" s="59" t="inlineStr">
        <is>
          <t>SC-21(改修)</t>
        </is>
      </c>
      <c r="E47" s="59" t="inlineStr">
        <is>
          <t>-</t>
        </is>
      </c>
      <c r="F47" s="59" t="inlineStr">
        <is>
          <t>-</t>
        </is>
      </c>
      <c r="G47" s="59" t="inlineStr">
        <is>
          <t>roleplay_scenario_variants</t>
        </is>
      </c>
      <c r="H47" s="59" t="inlineStr">
        <is>
          <t>乱択+履歴重複回避</t>
        </is>
      </c>
    </row>
    <row r="48">
      <c r="A48" s="59" t="inlineStr">
        <is>
          <t>S7: ロープレ</t>
        </is>
      </c>
      <c r="B48" s="59" t="inlineStr">
        <is>
          <t>時間制限</t>
        </is>
      </c>
      <c r="C48" s="59" t="inlineStr">
        <is>
          <t>US-61</t>
        </is>
      </c>
      <c r="D48" s="59" t="inlineStr">
        <is>
          <t>SC-21</t>
        </is>
      </c>
      <c r="E48" s="59" t="inlineStr">
        <is>
          <t>-</t>
        </is>
      </c>
      <c r="F48" s="59" t="inlineStr">
        <is>
          <t>-</t>
        </is>
      </c>
      <c r="G48" s="59" t="inlineStr">
        <is>
          <t>roleplay_sessions(time_limit)</t>
        </is>
      </c>
      <c r="H48" s="59" t="inlineStr">
        <is>
          <t>残時間バー</t>
        </is>
      </c>
    </row>
    <row r="49">
      <c r="A49" s="59" t="inlineStr">
        <is>
          <t>S7: ロープレ</t>
        </is>
      </c>
      <c r="B49" s="59" t="inlineStr">
        <is>
          <t>降参モード</t>
        </is>
      </c>
      <c r="C49" s="59" t="inlineStr">
        <is>
          <t>US-62</t>
        </is>
      </c>
      <c r="D49" s="59" t="inlineStr">
        <is>
          <t>SC-21</t>
        </is>
      </c>
      <c r="E49" s="59" t="inlineStr">
        <is>
          <t>-</t>
        </is>
      </c>
      <c r="F49" s="59" t="inlineStr">
        <is>
          <t>-</t>
        </is>
      </c>
      <c r="G49" s="59" t="inlineStr">
        <is>
          <t>-</t>
        </is>
      </c>
      <c r="H49" s="59" t="inlineStr">
        <is>
          <t>Hint API</t>
        </is>
      </c>
    </row>
    <row r="50">
      <c r="A50" s="59" t="inlineStr">
        <is>
          <t>S7: ロープレ</t>
        </is>
      </c>
      <c r="B50" s="59" t="inlineStr">
        <is>
          <t>リアル割り込み</t>
        </is>
      </c>
      <c r="C50" s="59" t="inlineStr">
        <is>
          <t>US-63</t>
        </is>
      </c>
      <c r="D50" s="59" t="inlineStr">
        <is>
          <t>SC-47</t>
        </is>
      </c>
      <c r="E50" s="59" t="inlineStr">
        <is>
          <t>AP-75</t>
        </is>
      </c>
      <c r="F50" s="59" t="inlineStr">
        <is>
          <t>-</t>
        </is>
      </c>
      <c r="G50" s="59" t="inlineStr">
        <is>
          <t>-</t>
        </is>
      </c>
      <c r="H50" s="59" t="inlineStr">
        <is>
          <t>本人合意要</t>
        </is>
      </c>
    </row>
    <row r="51">
      <c r="A51" s="59" t="inlineStr">
        <is>
          <t>S7: ロープレ</t>
        </is>
      </c>
      <c r="B51" s="59" t="inlineStr">
        <is>
          <t>失敗パターン</t>
        </is>
      </c>
      <c r="C51" s="59" t="inlineStr">
        <is>
          <t>US-64</t>
        </is>
      </c>
      <c r="D51" s="59" t="inlineStr">
        <is>
          <t>SC-48</t>
        </is>
      </c>
      <c r="E51" s="59" t="inlineStr">
        <is>
          <t>-</t>
        </is>
      </c>
      <c r="F51" s="59" t="inlineStr">
        <is>
          <t>q_roleplay_failure_aggregate</t>
        </is>
      </c>
      <c r="G51" s="59" t="inlineStr">
        <is>
          <t>roleplay_failure_patterns</t>
        </is>
      </c>
      <c r="H51" s="59" t="inlineStr">
        <is>
          <t>月次レポート</t>
        </is>
      </c>
    </row>
    <row r="52">
      <c r="A52" s="59" t="inlineStr">
        <is>
          <t>S7: ロープレ</t>
        </is>
      </c>
      <c r="B52" s="59" t="inlineStr">
        <is>
          <t>発話タイミング</t>
        </is>
      </c>
      <c r="C52" s="59" t="inlineStr">
        <is>
          <t>US-65</t>
        </is>
      </c>
      <c r="D52" s="59" t="inlineStr">
        <is>
          <t>SC-22</t>
        </is>
      </c>
      <c r="E52" s="59" t="inlineStr">
        <is>
          <t>-</t>
        </is>
      </c>
      <c r="F52" s="59" t="inlineStr">
        <is>
          <t>-</t>
        </is>
      </c>
      <c r="G52" s="59" t="inlineStr">
        <is>
          <t>roleplay_voice_metrics</t>
        </is>
      </c>
      <c r="H52" s="59" t="inlineStr">
        <is>
          <t>間/被り計測</t>
        </is>
      </c>
    </row>
    <row r="53">
      <c r="A53" s="59" t="inlineStr">
        <is>
          <t>S7: ロープレ</t>
        </is>
      </c>
      <c r="B53" s="59" t="inlineStr">
        <is>
          <t>録画→シナリオ</t>
        </is>
      </c>
      <c r="C53" s="59" t="inlineStr">
        <is>
          <t>US-66</t>
        </is>
      </c>
      <c r="D53" s="59" t="inlineStr">
        <is>
          <t>SC-16,SC-21</t>
        </is>
      </c>
      <c r="E53" s="59" t="inlineStr">
        <is>
          <t>AP-74</t>
        </is>
      </c>
      <c r="F53" s="59" t="inlineStr">
        <is>
          <t>-</t>
        </is>
      </c>
      <c r="G53" s="59" t="inlineStr">
        <is>
          <t>-</t>
        </is>
      </c>
      <c r="H53" s="59" t="inlineStr">
        <is>
          <t>ペルソナ自動抽出</t>
        </is>
      </c>
    </row>
    <row r="54">
      <c r="A54" s="59" t="inlineStr">
        <is>
          <t>S8: マネージャー</t>
        </is>
      </c>
      <c r="B54" s="59" t="inlineStr">
        <is>
          <t>受注率診断</t>
        </is>
      </c>
      <c r="C54" s="59" t="inlineStr">
        <is>
          <t>US-67</t>
        </is>
      </c>
      <c r="D54" s="59" t="inlineStr">
        <is>
          <t>SC-49</t>
        </is>
      </c>
      <c r="E54" s="59" t="inlineStr">
        <is>
          <t>AP-76</t>
        </is>
      </c>
      <c r="F54" s="59" t="inlineStr">
        <is>
          <t>-</t>
        </is>
      </c>
      <c r="G54" s="59" t="inlineStr">
        <is>
          <t>-</t>
        </is>
      </c>
      <c r="H54" s="59" t="inlineStr">
        <is>
          <t>週次AI診断</t>
        </is>
      </c>
    </row>
    <row r="55">
      <c r="A55" s="59" t="inlineStr">
        <is>
          <t>S8: マネージャー</t>
        </is>
      </c>
      <c r="B55" s="59" t="inlineStr">
        <is>
          <t>トップ表現共有</t>
        </is>
      </c>
      <c r="C55" s="59" t="inlineStr">
        <is>
          <t>US-68</t>
        </is>
      </c>
      <c r="D55" s="59" t="inlineStr">
        <is>
          <t>SC-50</t>
        </is>
      </c>
      <c r="E55" s="59" t="inlineStr">
        <is>
          <t>-</t>
        </is>
      </c>
      <c r="F55" s="59" t="inlineStr">
        <is>
          <t>-</t>
        </is>
      </c>
      <c r="G55" s="59" t="inlineStr">
        <is>
          <t>top_performer_phrases</t>
        </is>
      </c>
      <c r="H55" s="59" t="inlineStr">
        <is>
          <t>本人合意済のみ</t>
        </is>
      </c>
    </row>
    <row r="56">
      <c r="A56" s="59" t="inlineStr">
        <is>
          <t>S8: マネージャー</t>
        </is>
      </c>
      <c r="B56" s="59" t="inlineStr">
        <is>
          <t>製品説明統一</t>
        </is>
      </c>
      <c r="C56" s="59" t="inlineStr">
        <is>
          <t>US-69</t>
        </is>
      </c>
      <c r="D56" s="59" t="inlineStr">
        <is>
          <t>SC-51</t>
        </is>
      </c>
      <c r="E56" s="59" t="inlineStr">
        <is>
          <t>-</t>
        </is>
      </c>
      <c r="F56" s="59" t="inlineStr">
        <is>
          <t>-</t>
        </is>
      </c>
      <c r="G56" s="59" t="inlineStr">
        <is>
          <t>product_positioning_phrases</t>
        </is>
      </c>
      <c r="H56" s="59" t="inlineStr">
        <is>
          <t>承認制</t>
        </is>
      </c>
    </row>
    <row r="57">
      <c r="A57" s="59" t="inlineStr">
        <is>
          <t>S8: マネージャー</t>
        </is>
      </c>
      <c r="B57" s="59" t="inlineStr">
        <is>
          <t>個人スコア配慮</t>
        </is>
      </c>
      <c r="C57" s="59" t="inlineStr">
        <is>
          <t>US-70</t>
        </is>
      </c>
      <c r="D57" s="59" t="inlineStr">
        <is>
          <t>SC-25(改修)</t>
        </is>
      </c>
      <c r="E57" s="59" t="inlineStr">
        <is>
          <t>-</t>
        </is>
      </c>
      <c r="F57" s="59" t="inlineStr">
        <is>
          <t>-</t>
        </is>
      </c>
      <c r="G57" s="59" t="inlineStr">
        <is>
          <t>-</t>
        </is>
      </c>
      <c r="H57" s="59" t="inlineStr">
        <is>
          <t>集計デフォルト</t>
        </is>
      </c>
    </row>
    <row r="58">
      <c r="A58" s="59" t="inlineStr">
        <is>
          <t>S8: マネージャー</t>
        </is>
      </c>
      <c r="B58" s="59" t="inlineStr">
        <is>
          <t>失注分析</t>
        </is>
      </c>
      <c r="C58" s="59" t="inlineStr">
        <is>
          <t>US-71</t>
        </is>
      </c>
      <c r="D58" s="59" t="inlineStr">
        <is>
          <t>SC-52</t>
        </is>
      </c>
      <c r="E58" s="59" t="inlineStr">
        <is>
          <t>AP-77</t>
        </is>
      </c>
      <c r="F58" s="59" t="inlineStr">
        <is>
          <t>-</t>
        </is>
      </c>
      <c r="G58" s="59" t="inlineStr">
        <is>
          <t>loss_analyses</t>
        </is>
      </c>
      <c r="H58" s="59" t="inlineStr">
        <is>
          <t>業界×反論クロス</t>
        </is>
      </c>
    </row>
    <row r="59">
      <c r="A59" s="59" t="inlineStr">
        <is>
          <t>S9: 引き継ぎ</t>
        </is>
      </c>
      <c r="B59" s="59" t="inlineStr">
        <is>
          <t>認識ズレ</t>
        </is>
      </c>
      <c r="C59" s="59" t="inlineStr">
        <is>
          <t>US-72</t>
        </is>
      </c>
      <c r="D59" s="59" t="inlineStr">
        <is>
          <t>SC-23(改修)</t>
        </is>
      </c>
      <c r="E59" s="59" t="inlineStr">
        <is>
          <t>AP-78</t>
        </is>
      </c>
      <c r="F59" s="59" t="inlineStr">
        <is>
          <t>-</t>
        </is>
      </c>
      <c r="G59" s="59" t="inlineStr">
        <is>
          <t>alignment_reports</t>
        </is>
      </c>
      <c r="H59" s="59" t="inlineStr">
        <is>
          <t>CS→営業エスカレ</t>
        </is>
      </c>
    </row>
    <row r="60">
      <c r="A60" s="59" t="inlineStr">
        <is>
          <t>S9: 引き継ぎ</t>
        </is>
      </c>
      <c r="B60" s="59" t="inlineStr">
        <is>
          <t>CS予習</t>
        </is>
      </c>
      <c r="C60" s="59" t="inlineStr">
        <is>
          <t>US-73</t>
        </is>
      </c>
      <c r="D60" s="59" t="inlineStr">
        <is>
          <t>SC-53</t>
        </is>
      </c>
      <c r="E60" s="59" t="inlineStr">
        <is>
          <t>AP-79</t>
        </is>
      </c>
      <c r="F60" s="59" t="inlineStr">
        <is>
          <t>-</t>
        </is>
      </c>
      <c r="G60" s="59" t="inlineStr">
        <is>
          <t>-</t>
        </is>
      </c>
      <c r="H60" s="59" t="inlineStr">
        <is>
          <t>ハイライトクリップ</t>
        </is>
      </c>
    </row>
    <row r="61">
      <c r="A61" s="59" t="inlineStr">
        <is>
          <t>S9: 引き継ぎ</t>
        </is>
      </c>
      <c r="B61" s="59" t="inlineStr">
        <is>
          <t>更新3M前</t>
        </is>
      </c>
      <c r="C61" s="59" t="inlineStr">
        <is>
          <t>US-74</t>
        </is>
      </c>
      <c r="D61" s="59" t="inlineStr">
        <is>
          <t>SC-73</t>
        </is>
      </c>
      <c r="E61" s="59" t="inlineStr">
        <is>
          <t>-</t>
        </is>
      </c>
      <c r="F61" s="59" t="inlineStr">
        <is>
          <t>q_renewal_alerts</t>
        </is>
      </c>
      <c r="G61" s="59" t="inlineStr">
        <is>
          <t>contract_renewals</t>
        </is>
      </c>
      <c r="H61" s="59" t="inlineStr">
        <is>
          <t>日次job</t>
        </is>
      </c>
    </row>
    <row r="62">
      <c r="A62" s="59" t="inlineStr">
        <is>
          <t>S9: 引き継ぎ</t>
        </is>
      </c>
      <c r="B62" s="59" t="inlineStr">
        <is>
          <t>アップセル</t>
        </is>
      </c>
      <c r="C62" s="59" t="inlineStr">
        <is>
          <t>US-75</t>
        </is>
      </c>
      <c r="D62" s="59" t="inlineStr">
        <is>
          <t>SC-73</t>
        </is>
      </c>
      <c r="E62" s="59" t="inlineStr">
        <is>
          <t>-</t>
        </is>
      </c>
      <c r="F62" s="59" t="inlineStr">
        <is>
          <t>q_upsell_detect</t>
        </is>
      </c>
      <c r="G62" s="59" t="inlineStr">
        <is>
          <t>upsell_signals</t>
        </is>
      </c>
      <c r="H62" s="59" t="inlineStr">
        <is>
          <t>CS会話シグナル</t>
        </is>
      </c>
    </row>
    <row r="63">
      <c r="A63" s="59" t="inlineStr">
        <is>
          <t>S10: 失敗運用</t>
        </is>
      </c>
      <c r="B63" s="59" t="inlineStr">
        <is>
          <t>メールundo</t>
        </is>
      </c>
      <c r="C63" s="59" t="inlineStr">
        <is>
          <t>US-76</t>
        </is>
      </c>
      <c r="D63" s="59" t="inlineStr">
        <is>
          <t>SC-13(改修)</t>
        </is>
      </c>
      <c r="E63" s="59" t="inlineStr">
        <is>
          <t>AP-80,AP-81</t>
        </is>
      </c>
      <c r="F63" s="59" t="inlineStr">
        <is>
          <t>q_email_undo_finalize</t>
        </is>
      </c>
      <c r="G63" s="59" t="inlineStr">
        <is>
          <t>email_undo_tokens</t>
        </is>
      </c>
      <c r="H63" s="59" t="inlineStr">
        <is>
          <t>30秒バッファ</t>
        </is>
      </c>
    </row>
    <row r="64">
      <c r="A64" s="59" t="inlineStr">
        <is>
          <t>S10: 失敗運用</t>
        </is>
      </c>
      <c r="B64" s="59" t="inlineStr">
        <is>
          <t>Soft delete</t>
        </is>
      </c>
      <c r="C64" s="59" t="inlineStr">
        <is>
          <t>US-77</t>
        </is>
      </c>
      <c r="D64" s="59" t="inlineStr">
        <is>
          <t>SC-55</t>
        </is>
      </c>
      <c r="E64" s="59" t="inlineStr">
        <is>
          <t>AP-82</t>
        </is>
      </c>
      <c r="F64" s="59" t="inlineStr">
        <is>
          <t>q_soft_delete_purge</t>
        </is>
      </c>
      <c r="G64" s="59" t="inlineStr">
        <is>
          <t>-</t>
        </is>
      </c>
      <c r="H64" s="59" t="inlineStr">
        <is>
          <t>30日内復旧</t>
        </is>
      </c>
    </row>
    <row r="65">
      <c r="A65" s="59" t="inlineStr">
        <is>
          <t>S10: 失敗運用</t>
        </is>
      </c>
      <c r="B65" s="59" t="inlineStr">
        <is>
          <t>AIやり直し</t>
        </is>
      </c>
      <c r="C65" s="59" t="inlineStr">
        <is>
          <t>US-78</t>
        </is>
      </c>
      <c r="D65" s="59" t="inlineStr">
        <is>
          <t>SC-16</t>
        </is>
      </c>
      <c r="E65" s="59" t="inlineStr">
        <is>
          <t>AP-70</t>
        </is>
      </c>
      <c r="F65" s="59" t="inlineStr">
        <is>
          <t>-</t>
        </is>
      </c>
      <c r="G65" s="59" t="inlineStr">
        <is>
          <t>-</t>
        </is>
      </c>
      <c r="H65" s="59" t="inlineStr">
        <is>
          <t>モデル選択</t>
        </is>
      </c>
    </row>
    <row r="66">
      <c r="A66" s="59" t="inlineStr">
        <is>
          <t>S10: 失敗運用</t>
        </is>
      </c>
      <c r="B66" s="59" t="inlineStr">
        <is>
          <t>同期失敗バッジ</t>
        </is>
      </c>
      <c r="C66" s="59" t="inlineStr">
        <is>
          <t>US-79</t>
        </is>
      </c>
      <c r="D66" s="59" t="inlineStr">
        <is>
          <t>-</t>
        </is>
      </c>
      <c r="E66" s="59" t="inlineStr">
        <is>
          <t>-</t>
        </is>
      </c>
      <c r="F66" s="59" t="inlineStr">
        <is>
          <t>-</t>
        </is>
      </c>
      <c r="G66" s="59" t="inlineStr">
        <is>
          <t>sync_failure_log</t>
        </is>
      </c>
      <c r="H66" s="59" t="inlineStr">
        <is>
          <t>UI badge</t>
        </is>
      </c>
    </row>
    <row r="67">
      <c r="A67" s="59" t="inlineStr">
        <is>
          <t>S10: 失敗運用</t>
        </is>
      </c>
      <c r="B67" s="59" t="inlineStr">
        <is>
          <t>権限申請動線</t>
        </is>
      </c>
      <c r="C67" s="59" t="inlineStr">
        <is>
          <t>US-80</t>
        </is>
      </c>
      <c r="D67" s="59" t="inlineStr">
        <is>
          <t>SC-70</t>
        </is>
      </c>
      <c r="E67" s="59" t="inlineStr">
        <is>
          <t>AP-84</t>
        </is>
      </c>
      <c r="F67" s="59" t="inlineStr">
        <is>
          <t>-</t>
        </is>
      </c>
      <c r="G67" s="59" t="inlineStr">
        <is>
          <t>permission_requests</t>
        </is>
      </c>
      <c r="H67" s="59" t="inlineStr">
        <is>
          <t>403時に申請</t>
        </is>
      </c>
    </row>
    <row r="68">
      <c r="A68" s="59" t="inlineStr">
        <is>
          <t>S10: 失敗運用</t>
        </is>
      </c>
      <c r="B68" s="59" t="inlineStr">
        <is>
          <t>モバイル断線</t>
        </is>
      </c>
      <c r="C68" s="59" t="inlineStr">
        <is>
          <t>US-81</t>
        </is>
      </c>
      <c r="D68" s="59" t="inlineStr">
        <is>
          <t>SC-71</t>
        </is>
      </c>
      <c r="E68" s="59" t="inlineStr">
        <is>
          <t>-</t>
        </is>
      </c>
      <c r="F68" s="59" t="inlineStr">
        <is>
          <t>-</t>
        </is>
      </c>
      <c r="G68" s="59" t="inlineStr">
        <is>
          <t>autosave_drafts</t>
        </is>
      </c>
      <c r="H68" s="59" t="inlineStr">
        <is>
          <t>5秒間隔</t>
        </is>
      </c>
    </row>
    <row r="69">
      <c r="A69" s="59" t="inlineStr">
        <is>
          <t>S10: 失敗運用</t>
        </is>
      </c>
      <c r="B69" s="59" t="inlineStr">
        <is>
          <t>事故削除</t>
        </is>
      </c>
      <c r="C69" s="59" t="inlineStr">
        <is>
          <t>US-82</t>
        </is>
      </c>
      <c r="D69" s="59" t="inlineStr">
        <is>
          <t>SC-56</t>
        </is>
      </c>
      <c r="E69" s="59" t="inlineStr">
        <is>
          <t>AP-83</t>
        </is>
      </c>
      <c r="F69" s="59" t="inlineStr">
        <is>
          <t>q_pitr_snapshot</t>
        </is>
      </c>
      <c r="G69" s="59" t="inlineStr">
        <is>
          <t>backup_status</t>
        </is>
      </c>
      <c r="H69" s="59" t="inlineStr">
        <is>
          <t>MFA+reason+PITR 7日</t>
        </is>
      </c>
    </row>
    <row r="70">
      <c r="A70" s="59" t="inlineStr">
        <is>
          <t>S10: 失敗運用</t>
        </is>
      </c>
      <c r="B70" s="59" t="inlineStr">
        <is>
          <t>2デバイス衝突</t>
        </is>
      </c>
      <c r="C70" s="59" t="inlineStr">
        <is>
          <t>US-83</t>
        </is>
      </c>
      <c r="D70" s="59" t="inlineStr">
        <is>
          <t>SC-74</t>
        </is>
      </c>
      <c r="E70" s="59" t="inlineStr">
        <is>
          <t>AP-85</t>
        </is>
      </c>
      <c r="F70" s="59" t="inlineStr">
        <is>
          <t>-</t>
        </is>
      </c>
      <c r="G70" s="59" t="inlineStr">
        <is>
          <t>optimistic_lock_versions</t>
        </is>
      </c>
      <c r="H70" s="59" t="inlineStr">
        <is>
          <t>mergeダイアログ</t>
        </is>
      </c>
    </row>
    <row r="71">
      <c r="A71" s="59" t="inlineStr">
        <is>
          <t>S11: コンプラ</t>
        </is>
      </c>
      <c r="B71" s="59" t="inlineStr">
        <is>
          <t>録画同意</t>
        </is>
      </c>
      <c r="C71" s="59" t="inlineStr">
        <is>
          <t>US-84</t>
        </is>
      </c>
      <c r="D71" s="59" t="inlineStr">
        <is>
          <t>SC-11</t>
        </is>
      </c>
      <c r="E71" s="59" t="inlineStr">
        <is>
          <t>AP-86</t>
        </is>
      </c>
      <c r="F71" s="59" t="inlineStr">
        <is>
          <t>q_consent_check,q_recording_consent_violation</t>
        </is>
      </c>
      <c r="G71" s="59" t="inlineStr">
        <is>
          <t>meeting_consent_captures</t>
        </is>
      </c>
      <c r="H71" s="59" t="inlineStr">
        <is>
          <t>冒頭5分で確認</t>
        </is>
      </c>
    </row>
    <row r="72">
      <c r="A72" s="59" t="inlineStr">
        <is>
          <t>S11: コンプラ</t>
        </is>
      </c>
      <c r="B72" s="59" t="inlineStr">
        <is>
          <t>削除依頼</t>
        </is>
      </c>
      <c r="C72" s="59" t="inlineStr">
        <is>
          <t>US-85</t>
        </is>
      </c>
      <c r="D72" s="59" t="inlineStr">
        <is>
          <t>SC-60</t>
        </is>
      </c>
      <c r="E72" s="59" t="inlineStr">
        <is>
          <t>AP-87</t>
        </is>
      </c>
      <c r="F72" s="59" t="inlineStr">
        <is>
          <t>q_deletion_request_review</t>
        </is>
      </c>
      <c r="G72" s="59" t="inlineStr">
        <is>
          <t>data_deletion_requests</t>
        </is>
      </c>
      <c r="H72" s="59" t="inlineStr">
        <is>
          <t>30日SLA</t>
        </is>
      </c>
    </row>
    <row r="73">
      <c r="A73" s="59" t="inlineStr">
        <is>
          <t>S11: コンプラ</t>
        </is>
      </c>
      <c r="B73" s="59" t="inlineStr">
        <is>
          <t>退職者発言</t>
        </is>
      </c>
      <c r="C73" s="59" t="inlineStr">
        <is>
          <t>US-86</t>
        </is>
      </c>
      <c r="D73" s="59" t="inlineStr">
        <is>
          <t>SC-57</t>
        </is>
      </c>
      <c r="E73" s="59" t="inlineStr">
        <is>
          <t>AP-89</t>
        </is>
      </c>
      <c r="F73" s="59" t="inlineStr">
        <is>
          <t>q_anonymize_ex_employee</t>
        </is>
      </c>
      <c r="G73" s="59" t="inlineStr">
        <is>
          <t>ex_employee_speech_policies</t>
        </is>
      </c>
      <c r="H73" s="59" t="inlineStr">
        <is>
          <t>retain/anon/delete選択</t>
        </is>
      </c>
    </row>
    <row r="74">
      <c r="A74" s="59" t="inlineStr">
        <is>
          <t>S11: コンプラ</t>
        </is>
      </c>
      <c r="B74" s="59" t="inlineStr">
        <is>
          <t>法的開示</t>
        </is>
      </c>
      <c r="C74" s="59" t="inlineStr">
        <is>
          <t>US-87</t>
        </is>
      </c>
      <c r="D74" s="59" t="inlineStr">
        <is>
          <t>SC-58</t>
        </is>
      </c>
      <c r="E74" s="59" t="inlineStr">
        <is>
          <t>AP-88</t>
        </is>
      </c>
      <c r="F74" s="59" t="inlineStr">
        <is>
          <t>q_legal_export</t>
        </is>
      </c>
      <c r="G74" s="59" t="inlineStr">
        <is>
          <t>legal_disclosure_requests</t>
        </is>
      </c>
      <c r="H74" s="59" t="inlineStr">
        <is>
          <t>チェーンオブカストディ</t>
        </is>
      </c>
    </row>
    <row r="75">
      <c r="A75" s="59" t="inlineStr">
        <is>
          <t>S11: コンプラ</t>
        </is>
      </c>
      <c r="B75" s="59" t="inlineStr">
        <is>
          <t>保管地域</t>
        </is>
      </c>
      <c r="C75" s="59" t="inlineStr">
        <is>
          <t>US-88</t>
        </is>
      </c>
      <c r="D75" s="59" t="inlineStr">
        <is>
          <t>-</t>
        </is>
      </c>
      <c r="E75" s="59" t="inlineStr">
        <is>
          <t>-</t>
        </is>
      </c>
      <c r="F75" s="59" t="inlineStr">
        <is>
          <t>-</t>
        </is>
      </c>
      <c r="G75" s="59" t="inlineStr">
        <is>
          <t>data_residency_config</t>
        </is>
      </c>
      <c r="H75" s="59" t="inlineStr">
        <is>
          <t>ap-northeast-1</t>
        </is>
      </c>
    </row>
    <row r="76">
      <c r="A76" s="59" t="inlineStr">
        <is>
          <t>S12: オンボード</t>
        </is>
      </c>
      <c r="B76" s="59" t="inlineStr">
        <is>
          <t>初日</t>
        </is>
      </c>
      <c r="C76" s="59" t="inlineStr">
        <is>
          <t>US-89</t>
        </is>
      </c>
      <c r="D76" s="59" t="inlineStr">
        <is>
          <t>SC-61</t>
        </is>
      </c>
      <c r="E76" s="59" t="inlineStr">
        <is>
          <t>-</t>
        </is>
      </c>
      <c r="F76" s="59" t="inlineStr">
        <is>
          <t>-</t>
        </is>
      </c>
      <c r="G76" s="59" t="inlineStr">
        <is>
          <t>sample_data_seeds</t>
        </is>
      </c>
      <c r="H76" s="59" t="inlineStr">
        <is>
          <t>guided tour 7ステップ</t>
        </is>
      </c>
    </row>
    <row r="77">
      <c r="A77" s="59" t="inlineStr">
        <is>
          <t>S12: オンボード</t>
        </is>
      </c>
      <c r="B77" s="59" t="inlineStr">
        <is>
          <t>名刺移行</t>
        </is>
      </c>
      <c r="C77" s="59" t="inlineStr">
        <is>
          <t>US-90</t>
        </is>
      </c>
      <c r="D77" s="59" t="inlineStr">
        <is>
          <t>SC-62</t>
        </is>
      </c>
      <c r="E77" s="59" t="inlineStr">
        <is>
          <t>AP-90</t>
        </is>
      </c>
      <c r="F77" s="59" t="inlineStr">
        <is>
          <t>q_legacy_import</t>
        </is>
      </c>
      <c r="G77" s="59" t="inlineStr">
        <is>
          <t>legacy_import_jobs</t>
        </is>
      </c>
      <c r="H77" s="59" t="inlineStr">
        <is>
          <t>CSV/Sansan/Eight</t>
        </is>
      </c>
    </row>
    <row r="78">
      <c r="A78" s="59" t="inlineStr">
        <is>
          <t>S12: オンボード</t>
        </is>
      </c>
      <c r="B78" s="59" t="inlineStr">
        <is>
          <t>録画移行</t>
        </is>
      </c>
      <c r="C78" s="59" t="inlineStr">
        <is>
          <t>US-91</t>
        </is>
      </c>
      <c r="D78" s="59" t="inlineStr">
        <is>
          <t>SC-63</t>
        </is>
      </c>
      <c r="E78" s="59" t="inlineStr">
        <is>
          <t>AP-91</t>
        </is>
      </c>
      <c r="F78" s="59" t="inlineStr">
        <is>
          <t>q_zoom_historical_import</t>
        </is>
      </c>
      <c r="G78" s="59" t="inlineStr">
        <is>
          <t>zoom_historical_imports</t>
        </is>
      </c>
      <c r="H78" s="59" t="inlineStr">
        <is>
          <t>期間指定</t>
        </is>
      </c>
    </row>
    <row r="79">
      <c r="A79" s="59" t="inlineStr">
        <is>
          <t>S12: オンボード</t>
        </is>
      </c>
      <c r="B79" s="59" t="inlineStr">
        <is>
          <t>新人推奨</t>
        </is>
      </c>
      <c r="C79" s="59" t="inlineStr">
        <is>
          <t>US-92</t>
        </is>
      </c>
      <c r="D79" s="59" t="inlineStr">
        <is>
          <t>SC-64</t>
        </is>
      </c>
      <c r="E79" s="59" t="inlineStr">
        <is>
          <t>AP-92</t>
        </is>
      </c>
      <c r="F79" s="59" t="inlineStr">
        <is>
          <t>-</t>
        </is>
      </c>
      <c r="G79" s="59" t="inlineStr">
        <is>
          <t>onboarding_recommendations</t>
        </is>
      </c>
      <c r="H79" s="59" t="inlineStr">
        <is>
          <t>ロール別</t>
        </is>
      </c>
    </row>
    <row r="80">
      <c r="A80" s="59" t="inlineStr">
        <is>
          <t>S13: 検索品質</t>
        </is>
      </c>
      <c r="B80" s="59" t="inlineStr">
        <is>
          <t>最近見たもの</t>
        </is>
      </c>
      <c r="C80" s="59" t="inlineStr">
        <is>
          <t>US-93</t>
        </is>
      </c>
      <c r="D80" s="59" t="inlineStr">
        <is>
          <t>SC-73</t>
        </is>
      </c>
      <c r="E80" s="59" t="inlineStr">
        <is>
          <t>AP-93</t>
        </is>
      </c>
      <c r="F80" s="59" t="inlineStr">
        <is>
          <t>q_recent_view_log</t>
        </is>
      </c>
      <c r="G80" s="59" t="inlineStr">
        <is>
          <t>recent_views</t>
        </is>
      </c>
      <c r="H80" s="59" t="inlineStr">
        <is>
          <t>直近50</t>
        </is>
      </c>
    </row>
    <row r="81">
      <c r="A81" s="59" t="inlineStr">
        <is>
          <t>S13: 検索品質</t>
        </is>
      </c>
      <c r="B81" s="59" t="inlineStr">
        <is>
          <t>ハイブリッド順位</t>
        </is>
      </c>
      <c r="C81" s="59" t="inlineStr">
        <is>
          <t>US-94</t>
        </is>
      </c>
      <c r="D81" s="59" t="inlineStr">
        <is>
          <t>SC-17</t>
        </is>
      </c>
      <c r="E81" s="59" t="inlineStr">
        <is>
          <t>AP-94</t>
        </is>
      </c>
      <c r="F81" s="59" t="inlineStr">
        <is>
          <t>q_search_index_rebuild</t>
        </is>
      </c>
      <c r="G81" s="59" t="inlineStr">
        <is>
          <t>search_ranking_logs</t>
        </is>
      </c>
      <c r="H81" s="59" t="inlineStr">
        <is>
          <t>bm25*0.4+vec*0.4+rec*0.2</t>
        </is>
      </c>
    </row>
    <row r="82">
      <c r="A82" s="59" t="inlineStr">
        <is>
          <t>S13: 検索品質</t>
        </is>
      </c>
      <c r="B82" s="59" t="inlineStr">
        <is>
          <t>古い情報</t>
        </is>
      </c>
      <c r="C82" s="59" t="inlineStr">
        <is>
          <t>US-95</t>
        </is>
      </c>
      <c r="D82" s="59" t="inlineStr">
        <is>
          <t>SC-17</t>
        </is>
      </c>
      <c r="E82" s="59" t="inlineStr">
        <is>
          <t>-</t>
        </is>
      </c>
      <c r="F82" s="59" t="inlineStr">
        <is>
          <t>-</t>
        </is>
      </c>
      <c r="G82" s="59" t="inlineStr">
        <is>
          <t>knowledge_deprecations</t>
        </is>
      </c>
      <c r="H82" s="59" t="inlineStr">
        <is>
          <t>badge+filter</t>
        </is>
      </c>
    </row>
    <row r="83">
      <c r="A83" s="59" t="inlineStr">
        <is>
          <t>S13: 検索品質</t>
        </is>
      </c>
      <c r="B83" s="59" t="inlineStr">
        <is>
          <t>ハルシネーション</t>
        </is>
      </c>
      <c r="C83" s="59" t="inlineStr">
        <is>
          <t>US-96</t>
        </is>
      </c>
      <c r="D83" s="59" t="inlineStr">
        <is>
          <t>SC-18</t>
        </is>
      </c>
      <c r="E83" s="59" t="inlineStr">
        <is>
          <t>AP-95</t>
        </is>
      </c>
      <c r="F83" s="59" t="inlineStr">
        <is>
          <t>q_hallucination_audit</t>
        </is>
      </c>
      <c r="G83" s="59" t="inlineStr">
        <is>
          <t>chat_citations</t>
        </is>
      </c>
      <c r="H83" s="59" t="inlineStr">
        <is>
          <t>出典必須</t>
        </is>
      </c>
    </row>
    <row r="84">
      <c r="A84" s="59" t="inlineStr">
        <is>
          <t>S13: 検索品質</t>
        </is>
      </c>
      <c r="B84" s="59" t="inlineStr">
        <is>
          <t>自分宛</t>
        </is>
      </c>
      <c r="C84" s="59" t="inlineStr">
        <is>
          <t>US-97</t>
        </is>
      </c>
      <c r="D84" s="59" t="inlineStr">
        <is>
          <t>SC-17</t>
        </is>
      </c>
      <c r="E84" s="59" t="inlineStr">
        <is>
          <t>AP-94(speaker_filter)</t>
        </is>
      </c>
      <c r="F84" s="59" t="inlineStr">
        <is>
          <t>-</t>
        </is>
      </c>
      <c r="G84" s="59" t="inlineStr">
        <is>
          <t>-</t>
        </is>
      </c>
      <c r="H84" s="59" t="inlineStr">
        <is>
          <t>話者切替</t>
        </is>
      </c>
    </row>
    <row r="85">
      <c r="A85" s="59" t="inlineStr">
        <is>
          <t>S14: モバイル</t>
        </is>
      </c>
      <c r="B85" s="59" t="inlineStr">
        <is>
          <t>オフライン議事録</t>
        </is>
      </c>
      <c r="C85" s="59" t="inlineStr">
        <is>
          <t>US-98</t>
        </is>
      </c>
      <c r="D85" s="59" t="inlineStr">
        <is>
          <t>-</t>
        </is>
      </c>
      <c r="E85" s="59" t="inlineStr">
        <is>
          <t>-</t>
        </is>
      </c>
      <c r="F85" s="59" t="inlineStr">
        <is>
          <t>-</t>
        </is>
      </c>
      <c r="G85" s="59" t="inlineStr">
        <is>
          <t>service_worker_cache_manifest</t>
        </is>
      </c>
      <c r="H85" s="59" t="inlineStr">
        <is>
          <t>直近10件キャッシュ</t>
        </is>
      </c>
    </row>
    <row r="86">
      <c r="A86" s="59" t="inlineStr">
        <is>
          <t>S14: モバイル</t>
        </is>
      </c>
      <c r="B86" s="59" t="inlineStr">
        <is>
          <t>音声報告</t>
        </is>
      </c>
      <c r="C86" s="59" t="inlineStr">
        <is>
          <t>US-99</t>
        </is>
      </c>
      <c r="D86" s="59" t="inlineStr">
        <is>
          <t>SC-72</t>
        </is>
      </c>
      <c r="E86" s="59" t="inlineStr">
        <is>
          <t>AP-98</t>
        </is>
      </c>
      <c r="F86" s="59" t="inlineStr">
        <is>
          <t>q_voice_memo_transcribe</t>
        </is>
      </c>
      <c r="G86" s="59" t="inlineStr">
        <is>
          <t>voice_memos</t>
        </is>
      </c>
      <c r="H86" s="59" t="inlineStr">
        <is>
          <t>60秒上限</t>
        </is>
      </c>
    </row>
    <row r="87">
      <c r="A87" s="59" t="inlineStr">
        <is>
          <t>S14: モバイル</t>
        </is>
      </c>
      <c r="B87" s="59" t="inlineStr">
        <is>
          <t>プッシュ通知</t>
        </is>
      </c>
      <c r="C87" s="59" t="inlineStr">
        <is>
          <t>US-100</t>
        </is>
      </c>
      <c r="D87" s="59" t="inlineStr">
        <is>
          <t>SC-66</t>
        </is>
      </c>
      <c r="E87" s="59" t="inlineStr">
        <is>
          <t>AP-102</t>
        </is>
      </c>
      <c r="F87" s="59" t="inlineStr">
        <is>
          <t>q_push_dispatch</t>
        </is>
      </c>
      <c r="G87" s="59" t="inlineStr">
        <is>
          <t>push_subscriptions</t>
        </is>
      </c>
      <c r="H87" s="59" t="inlineStr">
        <is>
          <t>返信/15分前</t>
        </is>
      </c>
    </row>
    <row r="88">
      <c r="A88" s="59" t="inlineStr">
        <is>
          <t>S14: モバイル</t>
        </is>
      </c>
      <c r="B88" s="59" t="inlineStr">
        <is>
          <t>片手UI</t>
        </is>
      </c>
      <c r="C88" s="59" t="inlineStr">
        <is>
          <t>US-101</t>
        </is>
      </c>
      <c r="D88" s="59" t="inlineStr">
        <is>
          <t>-</t>
        </is>
      </c>
      <c r="E88" s="59" t="inlineStr">
        <is>
          <t>-</t>
        </is>
      </c>
      <c r="F88" s="59" t="inlineStr">
        <is>
          <t>-</t>
        </is>
      </c>
      <c r="G88" s="59" t="inlineStr">
        <is>
          <t>-</t>
        </is>
      </c>
      <c r="H88" s="59" t="inlineStr">
        <is>
          <t>bottom_action_bar標準</t>
        </is>
      </c>
    </row>
    <row r="89">
      <c r="A89" s="59" t="inlineStr">
        <is>
          <t>X: 横断</t>
        </is>
      </c>
      <c r="B89" s="59" t="inlineStr">
        <is>
          <t>データエクスポート</t>
        </is>
      </c>
      <c r="C89" s="59" t="inlineStr">
        <is>
          <t>US-102</t>
        </is>
      </c>
      <c r="D89" s="59" t="inlineStr">
        <is>
          <t>SC-67</t>
        </is>
      </c>
      <c r="E89" s="59" t="inlineStr">
        <is>
          <t>AP-96</t>
        </is>
      </c>
      <c r="F89" s="59" t="inlineStr">
        <is>
          <t>-</t>
        </is>
      </c>
      <c r="G89" s="59" t="inlineStr">
        <is>
          <t>data_exports</t>
        </is>
      </c>
      <c r="H89" s="59" t="inlineStr">
        <is>
          <t>暗号化zip</t>
        </is>
      </c>
    </row>
    <row r="90">
      <c r="A90" s="59" t="inlineStr">
        <is>
          <t>X: 横断</t>
        </is>
      </c>
      <c r="B90" s="59" t="inlineStr">
        <is>
          <t>PITR</t>
        </is>
      </c>
      <c r="C90" s="59" t="inlineStr">
        <is>
          <t>US-103</t>
        </is>
      </c>
      <c r="D90" s="59" t="inlineStr">
        <is>
          <t>SC-59</t>
        </is>
      </c>
      <c r="E90" s="59" t="inlineStr">
        <is>
          <t>AP-97</t>
        </is>
      </c>
      <c r="F90" s="59" t="inlineStr">
        <is>
          <t>q_pitr_snapshot</t>
        </is>
      </c>
      <c r="G90" s="59" t="inlineStr">
        <is>
          <t>backup_status</t>
        </is>
      </c>
      <c r="H90" s="59" t="inlineStr">
        <is>
          <t>7日窓</t>
        </is>
      </c>
    </row>
    <row r="91">
      <c r="A91" s="59" t="inlineStr">
        <is>
          <t>X: 横断</t>
        </is>
      </c>
      <c r="B91" s="59" t="inlineStr">
        <is>
          <t>状態機械可視化</t>
        </is>
      </c>
      <c r="C91" s="59" t="inlineStr">
        <is>
          <t>US-104</t>
        </is>
      </c>
      <c r="D91" s="59" t="inlineStr">
        <is>
          <t>-</t>
        </is>
      </c>
      <c r="E91" s="59" t="inlineStr">
        <is>
          <t>-</t>
        </is>
      </c>
      <c r="F91" s="59" t="inlineStr">
        <is>
          <t>-</t>
        </is>
      </c>
      <c r="G91" s="59" t="inlineStr">
        <is>
          <t>-</t>
        </is>
      </c>
      <c r="H91" s="59" t="inlineStr">
        <is>
          <t>14_state_machinesシート</t>
        </is>
      </c>
    </row>
    <row r="92">
      <c r="A92" s="59" t="inlineStr">
        <is>
          <t>X: 横断</t>
        </is>
      </c>
      <c r="B92" s="59" t="inlineStr">
        <is>
          <t>i18n</t>
        </is>
      </c>
      <c r="C92" s="59" t="inlineStr">
        <is>
          <t>US-105</t>
        </is>
      </c>
      <c r="D92" s="59" t="inlineStr">
        <is>
          <t>-</t>
        </is>
      </c>
      <c r="E92" s="59" t="inlineStr">
        <is>
          <t>AP-104</t>
        </is>
      </c>
      <c r="F92" s="59" t="inlineStr">
        <is>
          <t>-</t>
        </is>
      </c>
      <c r="G92" s="59" t="inlineStr">
        <is>
          <t>i18n_messages</t>
        </is>
      </c>
      <c r="H92" s="59" t="inlineStr">
        <is>
          <t>ja/en</t>
        </is>
      </c>
    </row>
    <row r="93">
      <c r="A93" s="59" t="inlineStr">
        <is>
          <t>X: 横断</t>
        </is>
      </c>
      <c r="B93" s="59" t="inlineStr">
        <is>
          <t>a11y</t>
        </is>
      </c>
      <c r="C93" s="59" t="inlineStr">
        <is>
          <t>US-106</t>
        </is>
      </c>
      <c r="D93" s="59" t="inlineStr">
        <is>
          <t>-</t>
        </is>
      </c>
      <c r="E93" s="59" t="inlineStr">
        <is>
          <t>-</t>
        </is>
      </c>
      <c r="F93" s="59" t="inlineStr">
        <is>
          <t>-</t>
        </is>
      </c>
      <c r="G93" s="59" t="inlineStr">
        <is>
          <t>accessibility_audits</t>
        </is>
      </c>
      <c r="H93" s="59" t="inlineStr">
        <is>
          <t>WCAG AA</t>
        </is>
      </c>
    </row>
    <row r="94">
      <c r="A94" s="59" t="inlineStr">
        <is>
          <t>X: 横断</t>
        </is>
      </c>
      <c r="B94" s="59" t="inlineStr">
        <is>
          <t>ブラウザ通知</t>
        </is>
      </c>
      <c r="C94" s="59" t="inlineStr">
        <is>
          <t>US-107</t>
        </is>
      </c>
      <c r="D94" s="59" t="inlineStr">
        <is>
          <t>SC-66</t>
        </is>
      </c>
      <c r="E94" s="59" t="inlineStr">
        <is>
          <t>AP-102</t>
        </is>
      </c>
      <c r="F94" s="59" t="inlineStr">
        <is>
          <t>-</t>
        </is>
      </c>
      <c r="G94" s="59" t="inlineStr">
        <is>
          <t>push_subscriptions</t>
        </is>
      </c>
      <c r="H94" s="59" t="inlineStr">
        <is>
          <t>Service Worker</t>
        </is>
      </c>
    </row>
    <row r="95">
      <c r="A95" s="59" t="inlineStr">
        <is>
          <t>X: 横断</t>
        </is>
      </c>
      <c r="B95" s="59" t="inlineStr">
        <is>
          <t>リアルタイム</t>
        </is>
      </c>
      <c r="C95" s="59" t="inlineStr">
        <is>
          <t>US-108</t>
        </is>
      </c>
      <c r="D95" s="59" t="inlineStr">
        <is>
          <t>-</t>
        </is>
      </c>
      <c r="E95" s="59" t="inlineStr">
        <is>
          <t>AP-103</t>
        </is>
      </c>
      <c r="F95" s="59" t="inlineStr">
        <is>
          <t>q_realtime_state_broadcast</t>
        </is>
      </c>
      <c r="G95" s="59" t="inlineStr">
        <is>
          <t>realtime_presence</t>
        </is>
      </c>
      <c r="H95" s="59" t="inlineStr">
        <is>
          <t>Supabase Realtime</t>
        </is>
      </c>
    </row>
    <row r="96">
      <c r="A96" s="59" t="inlineStr">
        <is>
          <t>X: 横断</t>
        </is>
      </c>
      <c r="B96" s="59" t="inlineStr">
        <is>
          <t>ヘルプ・FAQ</t>
        </is>
      </c>
      <c r="C96" s="59" t="inlineStr">
        <is>
          <t>US-109</t>
        </is>
      </c>
      <c r="D96" s="59" t="inlineStr">
        <is>
          <t>SC-65</t>
        </is>
      </c>
      <c r="E96" s="59" t="inlineStr">
        <is>
          <t>AP-99</t>
        </is>
      </c>
      <c r="F96" s="59" t="inlineStr">
        <is>
          <t>-</t>
        </is>
      </c>
      <c r="G96" s="59" t="inlineStr">
        <is>
          <t>help_articles</t>
        </is>
      </c>
      <c r="H96" s="59" t="inlineStr">
        <is>
          <t>intercom-like or 内製</t>
        </is>
      </c>
    </row>
    <row r="97">
      <c r="A97" s="59" t="inlineStr">
        <is>
          <t>X: 横断</t>
        </is>
      </c>
      <c r="B97" s="59" t="inlineStr">
        <is>
          <t>FF</t>
        </is>
      </c>
      <c r="C97" s="59" t="inlineStr">
        <is>
          <t>US-110</t>
        </is>
      </c>
      <c r="D97" s="59" t="inlineStr">
        <is>
          <t>SC-68</t>
        </is>
      </c>
      <c r="E97" s="59" t="inlineStr">
        <is>
          <t>AP-100</t>
        </is>
      </c>
      <c r="F97" s="59" t="inlineStr">
        <is>
          <t>q_ff_rollout_check</t>
        </is>
      </c>
      <c r="G97" s="59" t="inlineStr">
        <is>
          <t>feature_flags</t>
        </is>
      </c>
      <c r="H97" s="59" t="inlineStr">
        <is>
          <t>percentage rollout</t>
        </is>
      </c>
    </row>
    <row r="98">
      <c r="A98" s="59" t="inlineStr">
        <is>
          <t>X: 横断</t>
        </is>
      </c>
      <c r="B98" s="59" t="inlineStr">
        <is>
          <t>A/Bテスト</t>
        </is>
      </c>
      <c r="C98" s="59" t="inlineStr">
        <is>
          <t>US-111</t>
        </is>
      </c>
      <c r="D98" s="59" t="inlineStr">
        <is>
          <t>SC-69</t>
        </is>
      </c>
      <c r="E98" s="59" t="inlineStr">
        <is>
          <t>AP-101</t>
        </is>
      </c>
      <c r="F98" s="59" t="inlineStr">
        <is>
          <t>q_ab_test_result</t>
        </is>
      </c>
      <c r="G98" s="59" t="inlineStr">
        <is>
          <t>ab_test_*</t>
        </is>
      </c>
      <c r="H98" s="59" t="inlineStr">
        <is>
          <t>SRM check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0" customWidth="1" style="28" min="2" max="2"/>
    <col width="30" customWidth="1" style="28" min="3" max="3"/>
    <col width="25" customWidth="1" style="28" min="4" max="4"/>
    <col width="22" customWidth="1" style="28" min="5" max="5"/>
    <col width="6" customWidth="1" style="28" min="6" max="6"/>
  </cols>
  <sheetData>
    <row r="1">
      <c r="A1" s="56" t="inlineStr">
        <is>
          <t>コンプライアンス・法務</t>
        </is>
      </c>
    </row>
    <row r="2">
      <c r="A2" s="57" t="inlineStr">
        <is>
          <t>録画同意・削除依頼・退職者発言・法的開示・データ保管地域</t>
        </is>
      </c>
    </row>
    <row r="4">
      <c r="A4" s="58" t="inlineStr">
        <is>
          <t>項目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運用</t>
        </is>
      </c>
      <c r="E4" s="58" t="inlineStr">
        <is>
          <t>監査</t>
        </is>
      </c>
      <c r="F4" s="58" t="inlineStr">
        <is>
          <t>Phase</t>
        </is>
      </c>
    </row>
    <row r="5">
      <c r="A5" s="59" t="inlineStr">
        <is>
          <t>録画同意</t>
        </is>
      </c>
      <c r="B5" s="59" t="inlineStr">
        <is>
          <t>商談冒頭で同意取得</t>
        </is>
      </c>
      <c r="C5" s="59" t="inlineStr">
        <is>
          <t>auto announcement+不同意なら録画停止+ログ</t>
        </is>
      </c>
      <c r="D5" s="59" t="inlineStr">
        <is>
          <t>SOP: 商談3分以内に同意確認</t>
        </is>
      </c>
      <c r="E5" s="59" t="inlineStr">
        <is>
          <t>meeting_consent_captures+audit_logs</t>
        </is>
      </c>
      <c r="F5" s="59" t="inlineStr">
        <is>
          <t>P2</t>
        </is>
      </c>
    </row>
    <row r="6">
      <c r="A6" s="59" t="inlineStr">
        <is>
          <t>削除依頼</t>
        </is>
      </c>
      <c r="B6" s="59" t="inlineStr">
        <is>
          <t>個人情報保護法/GDPR応諾</t>
        </is>
      </c>
      <c r="C6" s="59" t="inlineStr">
        <is>
          <t>/share/[token]/request+30日SLA+専用窓口</t>
        </is>
      </c>
      <c r="D6" s="59" t="inlineStr">
        <is>
          <t>admin queue, ticket管理</t>
        </is>
      </c>
      <c r="E6" s="59" t="inlineStr">
        <is>
          <t>data_deletion_requests</t>
        </is>
      </c>
      <c r="F6" s="59" t="inlineStr">
        <is>
          <t>P2</t>
        </is>
      </c>
    </row>
    <row r="7">
      <c r="A7" s="59" t="inlineStr">
        <is>
          <t>退職者発言</t>
        </is>
      </c>
      <c r="B7" s="59" t="inlineStr">
        <is>
          <t>retain/anonymize/deleteを組織選択</t>
        </is>
      </c>
      <c r="C7" s="59" t="inlineStr">
        <is>
          <t>ex_employee_speech_policies+jobで一括処理</t>
        </is>
      </c>
      <c r="D7" s="59" t="inlineStr">
        <is>
          <t>退職処理SOPに組込</t>
        </is>
      </c>
      <c r="E7" s="59" t="inlineStr">
        <is>
          <t>audit_logs</t>
        </is>
      </c>
      <c r="F7" s="59" t="inlineStr">
        <is>
          <t>P3</t>
        </is>
      </c>
    </row>
    <row r="8">
      <c r="A8" s="59" t="inlineStr">
        <is>
          <t>法的開示</t>
        </is>
      </c>
      <c r="B8" s="59" t="inlineStr">
        <is>
          <t>チェーンオブカストディ</t>
        </is>
      </c>
      <c r="C8" s="59" t="inlineStr">
        <is>
          <t>legal_disclosure_requests+期間/対象指定export+暗号化zip</t>
        </is>
      </c>
      <c r="D8" s="59" t="inlineStr">
        <is>
          <t>admin/legal連携、MFA必須</t>
        </is>
      </c>
      <c r="E8" s="59" t="inlineStr">
        <is>
          <t>audit_logs(actor/scope/time)</t>
        </is>
      </c>
      <c r="F8" s="59" t="inlineStr">
        <is>
          <t>P3</t>
        </is>
      </c>
    </row>
    <row r="9">
      <c r="A9" s="59" t="inlineStr">
        <is>
          <t>保管地域</t>
        </is>
      </c>
      <c r="B9" s="59" t="inlineStr">
        <is>
          <t>東京リージョン固定</t>
        </is>
      </c>
      <c r="C9" s="59" t="inlineStr">
        <is>
          <t>Supabase ap-northeast-1+R2 tokyo</t>
        </is>
      </c>
      <c r="D9" s="59" t="inlineStr">
        <is>
          <t>契約書明記+SOC2範囲</t>
        </is>
      </c>
      <c r="E9" s="59" t="inlineStr">
        <is>
          <t>data_residency_config</t>
        </is>
      </c>
      <c r="F9" s="59" t="inlineStr">
        <is>
          <t>P1</t>
        </is>
      </c>
    </row>
    <row r="10">
      <c r="A10" s="59" t="inlineStr">
        <is>
          <t>保持期間</t>
        </is>
      </c>
      <c r="B10" s="59" t="inlineStr">
        <is>
          <t>録画/メール 5年</t>
        </is>
      </c>
      <c r="C10" s="59" t="inlineStr">
        <is>
          <t>retention policy job+soft delete</t>
        </is>
      </c>
      <c r="D10" s="59" t="inlineStr">
        <is>
          <t>退職者ポリシーと連動</t>
        </is>
      </c>
      <c r="E10" s="59" t="inlineStr">
        <is>
          <t>-</t>
        </is>
      </c>
      <c r="F10" s="59" t="inlineStr">
        <is>
          <t>P2</t>
        </is>
      </c>
    </row>
    <row r="11">
      <c r="A11" s="59" t="inlineStr">
        <is>
          <t>共有リンク</t>
        </is>
      </c>
      <c r="B11" s="59" t="inlineStr">
        <is>
          <t>期限+IP制限+クリップ単位</t>
        </is>
      </c>
      <c r="C11" s="59" t="inlineStr">
        <is>
          <t>share_links(expires_at)+IP allowlist</t>
        </is>
      </c>
      <c r="D11" s="59" t="inlineStr">
        <is>
          <t>クリップ推奨運用</t>
        </is>
      </c>
      <c r="E11" s="59" t="inlineStr">
        <is>
          <t>share_links閲覧ログ</t>
        </is>
      </c>
      <c r="F11" s="59" t="inlineStr">
        <is>
          <t>P2</t>
        </is>
      </c>
    </row>
    <row r="12">
      <c r="A12" s="59" t="inlineStr">
        <is>
          <t>PIIマスキング</t>
        </is>
      </c>
      <c r="B12" s="59" t="inlineStr">
        <is>
          <t>顧客住所/電話/金額</t>
        </is>
      </c>
      <c r="C12" s="59" t="inlineStr">
        <is>
          <t>pii_detector+共有時自動redact</t>
        </is>
      </c>
      <c r="D12" s="59" t="inlineStr">
        <is>
          <t>解除はadmin only</t>
        </is>
      </c>
      <c r="E12" s="59" t="inlineStr">
        <is>
          <t>pii_redactions</t>
        </is>
      </c>
      <c r="F12" s="59" t="inlineStr">
        <is>
          <t>P2</t>
        </is>
      </c>
    </row>
    <row r="13">
      <c r="A13" s="59" t="inlineStr">
        <is>
          <t>MFA</t>
        </is>
      </c>
      <c r="B13" s="59" t="inlineStr">
        <is>
          <t>破壊的アクション</t>
        </is>
      </c>
      <c r="C13" s="59" t="inlineStr">
        <is>
          <t>admin/manager必須</t>
        </is>
      </c>
      <c r="D13" s="59" t="inlineStr">
        <is>
          <t>設定SOP</t>
        </is>
      </c>
      <c r="E13" s="59" t="inlineStr">
        <is>
          <t>dangerous_action_audits</t>
        </is>
      </c>
      <c r="F13" s="59" t="inlineStr">
        <is>
          <t>P2</t>
        </is>
      </c>
    </row>
    <row r="14">
      <c r="A14" s="59" t="inlineStr">
        <is>
          <t>監査ログ</t>
        </is>
      </c>
      <c r="B14" s="59" t="inlineStr">
        <is>
          <t>全sensitive操作</t>
        </is>
      </c>
      <c r="C14" s="59" t="inlineStr">
        <is>
          <t>triggers→audit_logs</t>
        </is>
      </c>
      <c r="D14" s="59" t="inlineStr">
        <is>
          <t>admin閲覧+月次レビュー</t>
        </is>
      </c>
      <c r="E14" s="59" t="inlineStr">
        <is>
          <t>audit_logs</t>
        </is>
      </c>
      <c r="F14" s="59" t="inlineStr">
        <is>
          <t>P2</t>
        </is>
      </c>
    </row>
    <row r="15">
      <c r="A15" s="59" t="inlineStr">
        <is>
          <t>利用規約/プライバシー</t>
        </is>
      </c>
      <c r="B15" s="59" t="inlineStr">
        <is>
          <t>商談録画/AI処理の同意</t>
        </is>
      </c>
      <c r="C15" s="59" t="inlineStr">
        <is>
          <t>オンボーディング時に同意+ログ</t>
        </is>
      </c>
      <c r="D15" s="59" t="inlineStr">
        <is>
          <t>退会時データ削除</t>
        </is>
      </c>
      <c r="E15" s="59" t="inlineStr">
        <is>
          <t>consent_logs</t>
        </is>
      </c>
      <c r="F15" s="59" t="inlineStr">
        <is>
          <t>P1</t>
        </is>
      </c>
    </row>
    <row r="16">
      <c r="A16" s="59" t="inlineStr">
        <is>
          <t>データ可搬性</t>
        </is>
      </c>
      <c r="B16" s="59" t="inlineStr">
        <is>
          <t>CSV/JSONエクスポート</t>
        </is>
      </c>
      <c r="C16" s="59" t="inlineStr">
        <is>
          <t>data_exports+暗号化zip</t>
        </is>
      </c>
      <c r="D16" s="59" t="inlineStr">
        <is>
          <t>顧客請求対応</t>
        </is>
      </c>
      <c r="E16" s="59" t="inlineStr">
        <is>
          <t>data_exports</t>
        </is>
      </c>
      <c r="F16" s="59" t="inlineStr">
        <is>
          <t>P3</t>
        </is>
      </c>
    </row>
    <row r="17">
      <c r="A17" s="59" t="inlineStr">
        <is>
          <t>第三者提供</t>
        </is>
      </c>
      <c r="B17" s="59" t="inlineStr">
        <is>
          <t>利用しない方針/明示</t>
        </is>
      </c>
      <c r="C17" s="59" t="inlineStr">
        <is>
          <t>DPA/SLA</t>
        </is>
      </c>
      <c r="D17" s="59" t="inlineStr">
        <is>
          <t>契約レビュー</t>
        </is>
      </c>
      <c r="E17" s="59" t="inlineStr">
        <is>
          <t>-</t>
        </is>
      </c>
      <c r="F17" s="59" t="inlineStr">
        <is>
          <t>P1</t>
        </is>
      </c>
    </row>
    <row r="18">
      <c r="A18" s="59" t="inlineStr">
        <is>
          <t>脆弱性管理</t>
        </is>
      </c>
      <c r="B18" s="59" t="inlineStr">
        <is>
          <t>依存関係</t>
        </is>
      </c>
      <c r="C18" s="59" t="inlineStr">
        <is>
          <t>npm audit/Renovate</t>
        </is>
      </c>
      <c r="D18" s="59" t="inlineStr">
        <is>
          <t>週次</t>
        </is>
      </c>
      <c r="E18" s="59" t="inlineStr">
        <is>
          <t>-</t>
        </is>
      </c>
      <c r="F18" s="59" t="inlineStr">
        <is>
          <t>P1</t>
        </is>
      </c>
    </row>
    <row r="19">
      <c r="A19" s="59" t="inlineStr">
        <is>
          <t>Pen test</t>
        </is>
      </c>
      <c r="B19" s="59" t="inlineStr">
        <is>
          <t>年次</t>
        </is>
      </c>
      <c r="C19" s="59" t="inlineStr">
        <is>
          <t>外部監査</t>
        </is>
      </c>
      <c r="D19" s="59" t="inlineStr">
        <is>
          <t>年次SOC2</t>
        </is>
      </c>
      <c r="E19" s="59" t="inlineStr">
        <is>
          <t>-</t>
        </is>
      </c>
      <c r="F19" s="59" t="inlineStr">
        <is>
          <t>P3</t>
        </is>
      </c>
    </row>
    <row r="21">
      <c r="A21" s="41" t="inlineStr">
        <is>
          <t>■ Round1指摘反映 一覧(コンプラ視点・1ページ参照用)</t>
        </is>
      </c>
      <c r="B21" s="41" t="n"/>
      <c r="C21" s="41" t="n"/>
      <c r="D21" s="41" t="n"/>
      <c r="E21" s="41" t="n"/>
      <c r="F21" s="41" t="n"/>
    </row>
    <row r="22">
      <c r="A22" s="41" t="inlineStr">
        <is>
          <t>ID</t>
        </is>
      </c>
      <c r="B22" s="41" t="inlineStr">
        <is>
          <t>領域</t>
        </is>
      </c>
      <c r="C22" s="41" t="inlineStr">
        <is>
          <t>原指摘</t>
        </is>
      </c>
      <c r="D22" s="41" t="inlineStr">
        <is>
          <t>対応(v2.1)</t>
        </is>
      </c>
      <c r="E22" s="41" t="inlineStr">
        <is>
          <t>関連シート</t>
        </is>
      </c>
      <c r="F22" s="41" t="inlineStr">
        <is>
          <t>ステータス</t>
        </is>
      </c>
    </row>
    <row r="23">
      <c r="A23" s="41" t="inlineStr">
        <is>
          <t>C-1</t>
        </is>
      </c>
      <c r="B23" s="41" t="inlineStr">
        <is>
          <t>録画同意</t>
        </is>
      </c>
      <c r="C23" s="41" t="inlineStr">
        <is>
          <t>事前提示・撤回・per-attendee・途中参加・pre-consent buffer purge未定義</t>
        </is>
      </c>
      <c r="D23" s="41" t="inlineStr">
        <is>
          <t>per_attendee_consent table+AP-106+q_pre_consent_buffer_purge+q_consent_check_per_attendee+14_state_machines late_join_pending</t>
        </is>
      </c>
      <c r="E23" s="41" t="inlineStr">
        <is>
          <t>03/04/05/14</t>
        </is>
      </c>
      <c r="F23" s="41" t="inlineStr">
        <is>
          <t>対応</t>
        </is>
      </c>
    </row>
    <row r="24">
      <c r="A24" s="41" t="inlineStr">
        <is>
          <t>C-2</t>
        </is>
      </c>
      <c r="B24" s="41" t="inlineStr">
        <is>
          <t>保持期間</t>
        </is>
      </c>
      <c r="C24" s="41" t="inlineStr">
        <is>
          <t>O-04未決+5年と矛盾、最小化原則違反</t>
        </is>
      </c>
      <c r="D24" s="41" t="inlineStr">
        <is>
          <t>retention_policies table(sensitivity tier別TTL)+O-04確定(受注/失注3年/退職60日内再評価)+DPA同期</t>
        </is>
      </c>
      <c r="E24" s="41" t="inlineStr">
        <is>
          <t>03/13/16</t>
        </is>
      </c>
      <c r="F24" s="41" t="inlineStr">
        <is>
          <t>対応</t>
        </is>
      </c>
    </row>
    <row r="25">
      <c r="A25" s="41" t="inlineStr">
        <is>
          <t>C-3</t>
        </is>
      </c>
      <c r="B25" s="41" t="inlineStr">
        <is>
          <t>削除依頼</t>
        </is>
      </c>
      <c r="C25" s="41" t="inlineStr">
        <is>
          <t>下流伝播・拒否事由・バックアップ消去・identity verification 未定義</t>
        </is>
      </c>
      <c r="D25" s="41" t="inlineStr">
        <is>
          <t>data_deletion_requests改修(rejection_reason_code/downstream_propagation_status/backup_shred_status/identity_verification_method)+q_deletion_propagate+15日中間通知</t>
        </is>
      </c>
      <c r="E25" s="41" t="inlineStr">
        <is>
          <t>03/05/16</t>
        </is>
      </c>
      <c r="F25" s="41" t="inlineStr">
        <is>
          <t>対応</t>
        </is>
      </c>
    </row>
    <row r="26">
      <c r="A26" s="41" t="inlineStr">
        <is>
          <t>C-4</t>
        </is>
      </c>
      <c r="B26" s="41" t="inlineStr">
        <is>
          <t>法的開示</t>
        </is>
      </c>
      <c r="C26" s="41" t="inlineStr">
        <is>
          <t>チェーンオブカストディ要件不足</t>
        </is>
      </c>
      <c r="D26" s="41" t="inlineStr">
        <is>
          <t>legal_disclosure_requests改修(warrant_type/requesting_authority/legal_review_by/custody_chain_hashes/dual_approver_ids/subject_notification_decision)+AP-111(GPG+二人承認+manifest+SHA-256)+MFA</t>
        </is>
      </c>
      <c r="E26" s="41" t="inlineStr">
        <is>
          <t>03/04/16</t>
        </is>
      </c>
      <c r="F26" s="41" t="inlineStr">
        <is>
          <t>対応</t>
        </is>
      </c>
    </row>
    <row r="27">
      <c r="A27" s="41" t="inlineStr">
        <is>
          <t>C-5</t>
        </is>
      </c>
      <c r="B27" s="41" t="inlineStr">
        <is>
          <t>監査ログ</t>
        </is>
      </c>
      <c r="C27" s="41" t="inlineStr">
        <is>
          <t>非改ざん性なし、保持期間未明記</t>
        </is>
      </c>
      <c r="D27" s="41" t="inlineStr">
        <is>
          <t>audit_logs append-only(REVOKE UPDATE/DELETE)+prev_hash chain+R2 WORM(Object Lock compliance)+AP-113/124+q_audit_chain_verify+q_audit_worm_export+保持7年</t>
        </is>
      </c>
      <c r="E27" s="41" t="inlineStr">
        <is>
          <t>03/04/05/08</t>
        </is>
      </c>
      <c r="F27" s="41" t="inlineStr">
        <is>
          <t>対応</t>
        </is>
      </c>
    </row>
    <row r="28">
      <c r="A28" s="41" t="inlineStr">
        <is>
          <t>C-6</t>
        </is>
      </c>
      <c r="B28" s="41" t="inlineStr">
        <is>
          <t>退職処理SOP</t>
        </is>
      </c>
      <c r="C28" s="41" t="inlineStr">
        <is>
          <t>所有権移管/legal hold/可搬性 未統合</t>
        </is>
      </c>
      <c r="D28" s="41" t="inlineStr">
        <is>
          <t>26_user_offboarding_sop(O-01〜O-16) M-Day〜M+60チェックリスト+q_offboarding_orchestrate+q_offboarding_owner_transfer+AP-119/120+AP-112(可搬性)</t>
        </is>
      </c>
      <c r="E28" s="41" t="inlineStr">
        <is>
          <t>04/05/26</t>
        </is>
      </c>
      <c r="F28" s="41" t="inlineStr">
        <is>
          <t>対応</t>
        </is>
      </c>
    </row>
    <row r="29">
      <c r="A29" s="41" t="inlineStr">
        <is>
          <t>M-C1</t>
        </is>
      </c>
      <c r="B29" s="41" t="inlineStr">
        <is>
          <t>secret rotation</t>
        </is>
      </c>
      <c r="C29" s="41" t="inlineStr">
        <is>
          <t>旧/新並行受け入れ窓無し</t>
        </is>
      </c>
      <c r="D29" s="41" t="inlineStr">
        <is>
          <t>secret_rotation_audit table+_OLD/_NEW dual-secret window 7日+Slack通知</t>
        </is>
      </c>
      <c r="E29" s="41" t="inlineStr">
        <is>
          <t>03/10</t>
        </is>
      </c>
      <c r="F29" s="41" t="inlineStr">
        <is>
          <t>対応</t>
        </is>
      </c>
    </row>
    <row r="30">
      <c r="A30" s="41" t="inlineStr">
        <is>
          <t>M-C2</t>
        </is>
      </c>
      <c r="B30" s="41" t="inlineStr">
        <is>
          <t>共有リンク悪用</t>
        </is>
      </c>
      <c r="C30" s="41" t="inlineStr">
        <is>
          <t>透かし/DRM/bot対策なし</t>
        </is>
      </c>
      <c r="D30" s="41" t="inlineStr">
        <is>
          <t>share_links改修(dynamic watermark+bot_block captcha+UA/refererチェック)+q_share_link_watermark+meeting_share_watermarks</t>
        </is>
      </c>
      <c r="E30" s="41" t="inlineStr">
        <is>
          <t>03/05</t>
        </is>
      </c>
      <c r="F30" s="41" t="inlineStr">
        <is>
          <t>対応</t>
        </is>
      </c>
    </row>
    <row r="31">
      <c r="A31" s="41" t="inlineStr">
        <is>
          <t>M-C3</t>
        </is>
      </c>
      <c r="B31" s="41" t="inlineStr">
        <is>
          <t>社内閲覧マスキング</t>
        </is>
      </c>
      <c r="C31" s="41" t="inlineStr">
        <is>
          <t>sensitive=社内も段階閲覧不可</t>
        </is>
      </c>
      <c r="D31" s="41" t="inlineStr">
        <is>
          <t>recordings_select RLSをsensitivity tier段階適用、社内閲覧時もデフォルトmask、unmaskはreason+audit</t>
        </is>
      </c>
      <c r="E31" s="41" t="inlineStr">
        <is>
          <t>08</t>
        </is>
      </c>
      <c r="F31" s="41" t="inlineStr">
        <is>
          <t>対応</t>
        </is>
      </c>
    </row>
    <row r="32">
      <c r="A32" s="41" t="inlineStr">
        <is>
          <t>M-C4</t>
        </is>
      </c>
      <c r="B32" s="41" t="inlineStr">
        <is>
          <t>DR</t>
        </is>
      </c>
      <c r="C32" s="41" t="inlineStr">
        <is>
          <t>RPO/RTO/クロスリージョン未定義</t>
        </is>
      </c>
      <c r="D32" s="41" t="inlineStr">
        <is>
          <t>RPO=15min/RTO=4h明文化、ap-northeast-3 osaka encrypted backup、dr_backup_regions+q_dr_backup_replicate+SC-78</t>
        </is>
      </c>
      <c r="E32" s="41" t="inlineStr">
        <is>
          <t>03/05/02</t>
        </is>
      </c>
      <c r="F32" s="41" t="inlineStr">
        <is>
          <t>対応</t>
        </is>
      </c>
    </row>
    <row r="33">
      <c r="A33" s="41" t="inlineStr">
        <is>
          <t>M-C5</t>
        </is>
      </c>
      <c r="B33" s="41" t="inlineStr">
        <is>
          <t>利用規約再同意</t>
        </is>
      </c>
      <c r="C33" s="41" t="inlineStr">
        <is>
          <t>ポリシー改訂時の再同意・撤回・影響範囲未定義</t>
        </is>
      </c>
      <c r="D33" s="41" t="inlineStr">
        <is>
          <t>consent_logs改修(version/revoked_at/revocation_scope)+AP-115/116+q_consent_revoke_apply+LP-35</t>
        </is>
      </c>
      <c r="E33" s="41" t="inlineStr">
        <is>
          <t>03/04/05/07</t>
        </is>
      </c>
      <c r="F33" s="41" t="inlineStr">
        <is>
          <t>対応</t>
        </is>
      </c>
    </row>
    <row r="34">
      <c r="A34" s="41" t="inlineStr">
        <is>
          <t>M-C6</t>
        </is>
      </c>
      <c r="B34" s="41" t="inlineStr">
        <is>
          <t>フォールバック可視</t>
        </is>
      </c>
      <c r="C34" s="41" t="inlineStr">
        <is>
          <t>品質低下バナー/コストkill switchなし</t>
        </is>
      </c>
      <c r="D34" s="41" t="inlineStr">
        <is>
          <t>feature_flags(llm_primary/fallback)+UI degraded_mode+月予算150% hard stop+AP-117 LLM killswitch+q_llm_cost_guard</t>
        </is>
      </c>
      <c r="E34" s="41" t="inlineStr">
        <is>
          <t>03/04/05/23</t>
        </is>
      </c>
      <c r="F34" s="41" t="inlineStr">
        <is>
          <t>対応</t>
        </is>
      </c>
    </row>
    <row r="35">
      <c r="A35" s="41" t="inlineStr">
        <is>
          <t>M-C7</t>
        </is>
      </c>
      <c r="B35" s="41" t="inlineStr">
        <is>
          <t>代理権限退職</t>
        </is>
      </c>
      <c r="C35" s="41" t="inlineStr">
        <is>
          <t>退職後のdelegate自動失効なし</t>
        </is>
      </c>
      <c r="D35" s="41" t="inlineStr">
        <is>
          <t>delegate_grants.expires_at必須+退職処理jobで全失効+AP-112可搬性</t>
        </is>
      </c>
      <c r="E35" s="41" t="inlineStr">
        <is>
          <t>03/26</t>
        </is>
      </c>
      <c r="F35" s="41" t="inlineStr">
        <is>
          <t>対応</t>
        </is>
      </c>
    </row>
    <row r="36">
      <c r="A36" s="41" t="inlineStr">
        <is>
          <t>M-C8</t>
        </is>
      </c>
      <c r="B36" s="41" t="inlineStr">
        <is>
          <t>admin監査</t>
        </is>
      </c>
      <c r="C36" s="41" t="inlineStr">
        <is>
          <t>レビューア独立性/サンプリング/エビデンス無し</t>
        </is>
      </c>
      <c r="D36" s="41" t="inlineStr">
        <is>
          <t>audit_review_records table+月次チェックリスト+四半期外部監査(SOC2 Type2準備)</t>
        </is>
      </c>
      <c r="E36" s="41" t="inlineStr">
        <is>
          <t>03/16</t>
        </is>
      </c>
      <c r="F36" s="41" t="inlineStr">
        <is>
          <t>対応</t>
        </is>
      </c>
    </row>
    <row r="37">
      <c r="A37" s="41" t="inlineStr">
        <is>
          <t>L-C1</t>
        </is>
      </c>
      <c r="B37" s="41" t="inlineStr">
        <is>
          <t>署名URL長尺</t>
        </is>
      </c>
      <c r="C37" s="41" t="inlineStr">
        <is>
          <t>HLS rolling token無し</t>
        </is>
      </c>
      <c r="D37" s="41" t="inlineStr">
        <is>
          <t>HLSセグメント単位で都度署名URL再発行+ハートビートで延長</t>
        </is>
      </c>
      <c r="E37" s="41" t="inlineStr">
        <is>
          <t>16</t>
        </is>
      </c>
      <c r="F37" s="41" t="inlineStr">
        <is>
          <t>対応</t>
        </is>
      </c>
    </row>
    <row r="38">
      <c r="A38" s="41" t="inlineStr">
        <is>
          <t>L-C2</t>
        </is>
      </c>
      <c r="B38" s="41" t="inlineStr">
        <is>
          <t>CSPレポート</t>
        </is>
      </c>
      <c r="C38" s="41" t="inlineStr">
        <is>
          <t>report-uri/report-to未定義</t>
        </is>
      </c>
      <c r="D38" s="41" t="inlineStr">
        <is>
          <t>Sentry CSPレポート受信+しきい値超でSlack</t>
        </is>
      </c>
      <c r="E38" s="41" t="inlineStr">
        <is>
          <t>23</t>
        </is>
      </c>
      <c r="F38" s="41" t="inlineStr">
        <is>
          <t>対応</t>
        </is>
      </c>
    </row>
    <row r="39">
      <c r="A39" s="41" t="inlineStr">
        <is>
          <t>L-C3</t>
        </is>
      </c>
      <c r="B39" s="41" t="inlineStr">
        <is>
          <t>顧客TZ夜間</t>
        </is>
      </c>
      <c r="C39" s="41" t="inlineStr">
        <is>
          <t>顧客側ローカル23-7時ブロック未明記</t>
        </is>
      </c>
      <c r="D39" s="41" t="inlineStr">
        <is>
          <t>customer_timezones参照で顧客ローカル夜間も送信ブロック+work_hours強制ロジック</t>
        </is>
      </c>
      <c r="E39" s="41" t="inlineStr">
        <is>
          <t>08</t>
        </is>
      </c>
      <c r="F39" s="41" t="inlineStr">
        <is>
          <t>対応</t>
        </is>
      </c>
    </row>
    <row r="40">
      <c r="A40" s="41" t="inlineStr">
        <is>
          <t>L-C4</t>
        </is>
      </c>
      <c r="B40" s="41" t="inlineStr">
        <is>
          <t>委託先一覧</t>
        </is>
      </c>
      <c r="C40" s="41" t="inlineStr">
        <is>
          <t>DPA/サブプロセッサ通知運用未定義</t>
        </is>
      </c>
      <c r="D40" s="41" t="inlineStr">
        <is>
          <t>委託先(処理者)一覧明記(Anthropic/OpenAI/Cloudflare/Render/Supabase)+追加時30日前事前通知</t>
        </is>
      </c>
      <c r="E40" s="41" t="inlineStr">
        <is>
          <t>16</t>
        </is>
      </c>
      <c r="F40" s="41" t="inlineStr">
        <is>
          <t>対応</t>
        </is>
      </c>
    </row>
    <row r="41">
      <c r="A41" s="41" t="inlineStr">
        <is>
          <t>L-C5</t>
        </is>
      </c>
      <c r="B41" s="41" t="inlineStr">
        <is>
          <t>admin相互監査</t>
        </is>
      </c>
      <c r="C41" s="41" t="inlineStr">
        <is>
          <t>admin同士の監査がない</t>
        </is>
      </c>
      <c r="D41" s="41" t="inlineStr">
        <is>
          <t>root admin(2人)以上の相互レビュー、admin_actionは別テーブル</t>
        </is>
      </c>
      <c r="E41" s="41" t="inlineStr">
        <is>
          <t>08/16</t>
        </is>
      </c>
      <c r="F41" s="41" t="inlineStr">
        <is>
          <t>対応</t>
        </is>
      </c>
    </row>
    <row r="42">
      <c r="A42" s="41" t="inlineStr">
        <is>
          <t>L-C6</t>
        </is>
      </c>
      <c r="B42" s="41" t="inlineStr">
        <is>
          <t>初回pen test</t>
        </is>
      </c>
      <c r="C42" s="41" t="inlineStr">
        <is>
          <t>P1リリース前pen testなし</t>
        </is>
      </c>
      <c r="D42" s="41" t="inlineStr">
        <is>
          <t>P1終盤(リリース2週前)に初回pen test+年次サイクル開始</t>
        </is>
      </c>
      <c r="E42" s="41" t="inlineStr">
        <is>
          <t>09/16</t>
        </is>
      </c>
      <c r="F42" s="41" t="inlineStr">
        <is>
          <t>対応</t>
        </is>
      </c>
    </row>
    <row r="44">
      <c r="A44" s="41" t="inlineStr">
        <is>
          <t>■ v2.3 追加(実演シミュ反映)</t>
        </is>
      </c>
      <c r="B44" s="41" t="n"/>
      <c r="C44" s="41" t="n"/>
      <c r="D44" s="41" t="n"/>
      <c r="E44" s="41" t="n"/>
      <c r="F44" s="41" t="n"/>
    </row>
    <row r="45">
      <c r="A45" s="41" t="inlineStr">
        <is>
          <t>項目</t>
        </is>
      </c>
      <c r="B45" s="41" t="inlineStr">
        <is>
          <t>要件</t>
        </is>
      </c>
      <c r="C45" s="41" t="inlineStr">
        <is>
          <t>実装</t>
        </is>
      </c>
      <c r="D45" s="41" t="inlineStr">
        <is>
          <t>運用</t>
        </is>
      </c>
      <c r="E45" s="41" t="inlineStr">
        <is>
          <t>監査</t>
        </is>
      </c>
      <c r="F45" s="41" t="inlineStr">
        <is>
          <t>Phase</t>
        </is>
      </c>
    </row>
    <row r="46">
      <c r="A46" s="41" t="inlineStr">
        <is>
          <t>WORM vs 削除SLA衝突解消(F-S11-1)</t>
        </is>
      </c>
      <c r="B46" s="41" t="inlineStr">
        <is>
          <t>audit_logsのPIIマスキング前提化</t>
        </is>
      </c>
      <c r="C46" s="41" t="inlineStr">
        <is>
          <t>WORM保管対象はredacted text、unmask要求は別チャネル+legal review</t>
        </is>
      </c>
      <c r="D46" s="41" t="inlineStr">
        <is>
          <t>審査24h SLA</t>
        </is>
      </c>
      <c r="E46" s="41" t="inlineStr">
        <is>
          <t>unmask audit_logs</t>
        </is>
      </c>
      <c r="F46" s="41" t="inlineStr">
        <is>
          <t>P2</t>
        </is>
      </c>
    </row>
    <row r="47">
      <c r="A47" s="41" t="inlineStr">
        <is>
          <t>captured_via 法的有効性(F-S4-2)</t>
        </is>
      </c>
      <c r="B47" s="41" t="inlineStr">
        <is>
          <t>各captured_viaの根拠</t>
        </is>
      </c>
      <c r="C47" s="41" t="inlineStr">
        <is>
          <t>zoom_apps_dialog: opt-in+ログ。email_otp_link: 確認可能だが時差。verbal_logged_by_owner: 緊急時のみ+音声記録併記。auto_capture: 包括同意のみ</t>
        </is>
      </c>
      <c r="D47" s="41" t="inlineStr">
        <is>
          <t>SOPで優先順位明記</t>
        </is>
      </c>
      <c r="E47" s="41" t="inlineStr">
        <is>
          <t>consent log</t>
        </is>
      </c>
      <c r="F47" s="41" t="inlineStr">
        <is>
          <t>P2</t>
        </is>
      </c>
    </row>
    <row r="48">
      <c r="A48" s="41" t="inlineStr">
        <is>
          <t>captured_via 緊急時verbal(F-S4-2)</t>
        </is>
      </c>
      <c r="B48" s="41" t="inlineStr">
        <is>
          <t>営業押下による口頭同意ログ</t>
        </is>
      </c>
      <c r="C48" s="41" t="inlineStr">
        <is>
          <t>audio_proof_segment_idを必須参照</t>
        </is>
      </c>
      <c r="D48" s="41" t="inlineStr">
        <is>
          <t>事後本人確認7日以内</t>
        </is>
      </c>
      <c r="E48" s="41" t="inlineStr">
        <is>
          <t>ex post review</t>
        </is>
      </c>
      <c r="F48" s="41" t="inlineStr">
        <is>
          <t>P2</t>
        </is>
      </c>
    </row>
    <row r="49">
      <c r="A49" s="41" t="inlineStr">
        <is>
          <t>consent_blanket(F-S4-3)</t>
        </is>
      </c>
      <c r="B49" s="41" t="inlineStr">
        <is>
          <t>社内会議の包括同意</t>
        </is>
      </c>
      <c r="C49" s="41" t="inlineStr">
        <is>
          <t>onboarding step6で明示・撤回可能</t>
        </is>
      </c>
      <c r="D49" s="41" t="inlineStr">
        <is>
          <t>半年に1度再確認</t>
        </is>
      </c>
      <c r="E49" s="41" t="inlineStr">
        <is>
          <t>consent_logs</t>
        </is>
      </c>
      <c r="F49" s="41" t="inlineStr">
        <is>
          <t>P2</t>
        </is>
      </c>
    </row>
    <row r="50">
      <c r="A50" s="41" t="inlineStr">
        <is>
          <t>delegate_grants退職時(M-C7再強化)</t>
        </is>
      </c>
      <c r="B50" s="41" t="inlineStr">
        <is>
          <t>退職時即失効+本人通知</t>
        </is>
      </c>
      <c r="C50" s="41" t="inlineStr">
        <is>
          <t>q_offboarding_orchestrate内</t>
        </is>
      </c>
      <c r="D50" s="41" t="inlineStr">
        <is>
          <t>O-08で実行</t>
        </is>
      </c>
      <c r="E50" s="41" t="inlineStr">
        <is>
          <t>audit</t>
        </is>
      </c>
      <c r="F50" s="41" t="inlineStr">
        <is>
          <t>P3</t>
        </is>
      </c>
    </row>
    <row r="51">
      <c r="A51" s="41" t="inlineStr">
        <is>
          <t>i18n DPA(F-UX-1)</t>
        </is>
      </c>
      <c r="B51" s="41" t="inlineStr">
        <is>
          <t>海外顧客向け文面の法的妥当性</t>
        </is>
      </c>
      <c r="C51" s="41" t="inlineStr">
        <is>
          <t>export_templates(en)を法務レビュー後デプロイ</t>
        </is>
      </c>
      <c r="D51" s="41" t="inlineStr">
        <is>
          <t>リリース前必須</t>
        </is>
      </c>
      <c r="E51" s="41" t="inlineStr">
        <is>
          <t>template_audit</t>
        </is>
      </c>
      <c r="F51" s="41" t="inlineStr">
        <is>
          <t>P3</t>
        </is>
      </c>
    </row>
    <row r="52">
      <c r="A52" s="41" t="inlineStr">
        <is>
          <t>personal export(F-UX-3)</t>
        </is>
      </c>
      <c r="B52" s="41" t="inlineStr">
        <is>
          <t>対象種別+パスフレーズ二経路</t>
        </is>
      </c>
      <c r="C52" s="41" t="inlineStr">
        <is>
          <t>SMS/別Emailの選択+暗号化zip(AES-256)+expires=7d</t>
        </is>
      </c>
      <c r="D52" s="41" t="inlineStr">
        <is>
          <t>SOP</t>
        </is>
      </c>
      <c r="E52" s="41" t="inlineStr">
        <is>
          <t>data_exports</t>
        </is>
      </c>
      <c r="F52" s="41" t="inlineStr">
        <is>
          <t>P3</t>
        </is>
      </c>
    </row>
    <row r="53">
      <c r="A53" s="41" t="inlineStr">
        <is>
          <t>audit chain破断(F-S10-3)</t>
        </is>
      </c>
      <c r="B53" s="41" t="inlineStr">
        <is>
          <t>incident open→investigation→close</t>
        </is>
      </c>
      <c r="C53" s="41" t="inlineStr">
        <is>
          <t>dual approval+RCAリンク必須</t>
        </is>
      </c>
      <c r="D53" s="41" t="inlineStr">
        <is>
          <t>検知15分以内通報、24h以内open状態維持</t>
        </is>
      </c>
      <c r="E53" s="41" t="inlineStr">
        <is>
          <t>audit_chain_incidents</t>
        </is>
      </c>
      <c r="F53" s="41" t="inlineStr">
        <is>
          <t>P2</t>
        </is>
      </c>
    </row>
    <row r="54">
      <c r="A54" s="41" t="inlineStr">
        <is>
          <t>DR restore(F-S10-1)</t>
        </is>
      </c>
      <c r="B54" s="41" t="inlineStr">
        <is>
          <t>admin+legal dual approval+MFA</t>
        </is>
      </c>
      <c r="C54" s="41" t="inlineStr">
        <is>
          <t>SC-78改修+AP-129/130</t>
        </is>
      </c>
      <c r="D54" s="41" t="inlineStr">
        <is>
          <t>SOP明記</t>
        </is>
      </c>
      <c r="E54" s="41" t="inlineStr">
        <is>
          <t>dangerous_action_audits</t>
        </is>
      </c>
      <c r="F54" s="41" t="inlineStr">
        <is>
          <t>P3</t>
        </is>
      </c>
    </row>
    <row r="55">
      <c r="A55" s="41" t="inlineStr">
        <is>
          <t>former_employee発言表示(F-S6-2)</t>
        </is>
      </c>
      <c r="B55" s="41" t="inlineStr">
        <is>
          <t>UI上で警告バッジ+承継状態必須</t>
        </is>
      </c>
      <c r="C55" s="41" t="inlineStr">
        <is>
          <t>SC-43/SC-45/SC-01</t>
        </is>
      </c>
      <c r="D55" s="41" t="inlineStr">
        <is>
          <t>顧客対応SOPに反映</t>
        </is>
      </c>
      <c r="E55" s="41" t="inlineStr">
        <is>
          <t>-</t>
        </is>
      </c>
      <c r="F55" s="41" t="inlineStr">
        <is>
          <t>P2</t>
        </is>
      </c>
    </row>
    <row r="56">
      <c r="A56" s="41" t="inlineStr">
        <is>
          <t>顧客向けPDF i18n(F-UX-1)</t>
        </is>
      </c>
      <c r="B56" s="41" t="inlineStr">
        <is>
          <t>PDFテンプレもlocale切替</t>
        </is>
      </c>
      <c r="C56" s="41" t="inlineStr">
        <is>
          <t>export_templates(kind=pdf)</t>
        </is>
      </c>
      <c r="D56" s="41" t="inlineStr">
        <is>
          <t>share/[token]ロケール解決ルール</t>
        </is>
      </c>
      <c r="E56" s="41" t="inlineStr">
        <is>
          <t>-</t>
        </is>
      </c>
      <c r="F56" s="41" t="inlineStr">
        <is>
          <t>P3</t>
        </is>
      </c>
    </row>
    <row r="57">
      <c r="A57" s="41" t="inlineStr">
        <is>
          <t>watermark i18n(F-UX-1)</t>
        </is>
      </c>
      <c r="B57" s="41" t="inlineStr">
        <is>
          <t>viewer_email埋込+多言語</t>
        </is>
      </c>
      <c r="C57" s="41" t="inlineStr">
        <is>
          <t>export_templates(kind=watermark)</t>
        </is>
      </c>
      <c r="D57" s="41" t="inlineStr">
        <is>
          <t>-</t>
        </is>
      </c>
      <c r="E57" s="41" t="inlineStr">
        <is>
          <t>-</t>
        </is>
      </c>
      <c r="F57" s="41" t="inlineStr">
        <is>
          <t>P3</t>
        </is>
      </c>
    </row>
    <row r="59">
      <c r="A59" s="41" t="inlineStr">
        <is>
          <t>■ v2.4 追加(再シミュ残課題)</t>
        </is>
      </c>
      <c r="B59" s="41" t="n"/>
      <c r="C59" s="41" t="n"/>
      <c r="D59" s="41" t="n"/>
      <c r="E59" s="41" t="n"/>
      <c r="F59" s="41" t="n"/>
    </row>
    <row r="60">
      <c r="A60" s="41" t="inlineStr">
        <is>
          <t>項目</t>
        </is>
      </c>
      <c r="B60" s="41" t="inlineStr">
        <is>
          <t>要件</t>
        </is>
      </c>
      <c r="C60" s="41" t="inlineStr">
        <is>
          <t>実装</t>
        </is>
      </c>
      <c r="D60" s="41" t="inlineStr">
        <is>
          <t>運用</t>
        </is>
      </c>
      <c r="E60" s="41" t="inlineStr">
        <is>
          <t>監査</t>
        </is>
      </c>
      <c r="F60" s="41" t="inlineStr">
        <is>
          <t>Phase</t>
        </is>
      </c>
    </row>
    <row r="61">
      <c r="A61" s="41" t="inlineStr">
        <is>
          <t>verbal proof のbuffer循環解消(NF-S4-1)</t>
        </is>
      </c>
      <c r="B61" s="41" t="inlineStr">
        <is>
          <t>録画前バッファのpurgeとverbal同意の証跡参照を整合</t>
        </is>
      </c>
      <c r="C61" s="41" t="inlineStr">
        <is>
          <t>pre_consent_audio_buffers.verbal_proof_locked=true→48hロック→retention_policiesに連動</t>
        </is>
      </c>
      <c r="D61" s="41" t="inlineStr">
        <is>
          <t>SOPに『verbal時はbuffer固定→purge保留』を明記</t>
        </is>
      </c>
      <c r="E61" s="41" t="inlineStr">
        <is>
          <t>audit_logs+chain</t>
        </is>
      </c>
      <c r="F61" s="41" t="inlineStr">
        <is>
          <t>P2</t>
        </is>
      </c>
    </row>
    <row r="62">
      <c r="A62" s="41" t="inlineStr">
        <is>
          <t>3者承認 legal_hold(F-S11-3再)</t>
        </is>
      </c>
      <c r="B62" s="41" t="inlineStr">
        <is>
          <t>訴訟係属時の代理人承認</t>
        </is>
      </c>
      <c r="C62" s="41" t="inlineStr">
        <is>
          <t>data_deletion_requests.legal_hold_override_approver_id+SC-60a 3-step approval</t>
        </is>
      </c>
      <c r="D62" s="41" t="inlineStr">
        <is>
          <t>SOPに承認順序(法務→情シス→代理人)を記載</t>
        </is>
      </c>
      <c r="E62" s="41" t="inlineStr">
        <is>
          <t>approval_chain JSONB</t>
        </is>
      </c>
      <c r="F62" s="41" t="inlineStr">
        <is>
          <t>P2</t>
        </is>
      </c>
    </row>
    <row r="63">
      <c r="A63" s="41" t="inlineStr">
        <is>
          <t>コスト超過時のadmin通知(NF-S5-1)</t>
        </is>
      </c>
      <c r="B63" s="41" t="inlineStr">
        <is>
          <t>per-meeting cap到達でadmin通知</t>
        </is>
      </c>
      <c r="C63" s="41" t="inlineStr">
        <is>
          <t>q_derived_artifacts_regen+q_llm_cost_guard</t>
        </is>
      </c>
      <c r="D63" s="41" t="inlineStr">
        <is>
          <t>admin Slack</t>
        </is>
      </c>
      <c r="E63" s="41" t="inlineStr">
        <is>
          <t>cost_actuals</t>
        </is>
      </c>
      <c r="F63" s="41" t="inlineStr">
        <is>
          <t>P2</t>
        </is>
      </c>
    </row>
    <row r="64">
      <c r="A64" s="41" t="inlineStr">
        <is>
          <t>翻訳開示(NF-UX-1)</t>
        </is>
      </c>
      <c r="B64" s="41" t="inlineStr">
        <is>
          <t>機械翻訳である旨の開示</t>
        </is>
      </c>
      <c r="C64" s="41" t="inlineStr">
        <is>
          <t>share/[token]に machine_translated_en + quality_disclaimer 必須</t>
        </is>
      </c>
      <c r="D64" s="41" t="inlineStr">
        <is>
          <t>DPA記載</t>
        </is>
      </c>
      <c r="E64" s="41" t="inlineStr">
        <is>
          <t>-</t>
        </is>
      </c>
      <c r="F64" s="41" t="inlineStr">
        <is>
          <t>P3</t>
        </is>
      </c>
    </row>
    <row r="66">
      <c r="A66" s="41" t="inlineStr">
        <is>
          <t>■ v2.5 追加(R3 minor)</t>
        </is>
      </c>
      <c r="B66" s="41" t="n"/>
      <c r="C66" s="41" t="n"/>
      <c r="D66" s="41" t="n"/>
      <c r="E66" s="41" t="n"/>
      <c r="F66" s="41" t="n"/>
    </row>
    <row r="67">
      <c r="A67" s="41" t="inlineStr">
        <is>
          <t>項目</t>
        </is>
      </c>
      <c r="B67" s="41" t="inlineStr">
        <is>
          <t>要件</t>
        </is>
      </c>
      <c r="C67" s="41" t="inlineStr">
        <is>
          <t>実装</t>
        </is>
      </c>
      <c r="D67" s="41" t="inlineStr">
        <is>
          <t>運用</t>
        </is>
      </c>
      <c r="E67" s="41" t="inlineStr">
        <is>
          <t>監査</t>
        </is>
      </c>
      <c r="F67" s="41" t="inlineStr">
        <is>
          <t>Phase</t>
        </is>
      </c>
    </row>
    <row r="68">
      <c r="A68" s="41" t="inlineStr">
        <is>
          <t>代理人KYC(NF3-S11-1)</t>
        </is>
      </c>
      <c r="B68" s="41" t="inlineStr">
        <is>
          <t>POA原本写し+本人免許写し必須</t>
        </is>
      </c>
      <c r="C68" s="41" t="inlineStr">
        <is>
          <t>data_deletion_requests に representative_identity_verification_method+POA url+ID url 追加。SC-60a 代理人タブ</t>
        </is>
      </c>
      <c r="D68" s="41" t="inlineStr">
        <is>
          <t>SOPに『代理人弁護士の場合は委任状原本(POA)+本人運転免許の写しを必須』明記</t>
        </is>
      </c>
      <c r="E68" s="41" t="inlineStr">
        <is>
          <t>approval_chain JSONB</t>
        </is>
      </c>
      <c r="F68" s="41" t="inlineStr">
        <is>
          <t>P2</t>
        </is>
      </c>
    </row>
    <row r="69">
      <c r="A69" s="41" t="inlineStr">
        <is>
          <t>翻訳開示(改v2.5)</t>
        </is>
      </c>
      <c r="B69" s="41" t="inlineStr">
        <is>
          <t>人手翻訳エスカレ手順</t>
        </is>
      </c>
      <c r="C69" s="41" t="inlineStr">
        <is>
          <t>SC-31の『人手翻訳を依頼』+ SLA 5営業日+ machine_translated_en バッジ継続</t>
        </is>
      </c>
      <c r="D69" s="41" t="inlineStr">
        <is>
          <t>DPA: 人手翻訳の委託先(社内/外部)を明記</t>
        </is>
      </c>
      <c r="E69" s="41" t="inlineStr">
        <is>
          <t>translation_status</t>
        </is>
      </c>
      <c r="F69" s="41" t="inlineStr">
        <is>
          <t>P3</t>
        </is>
      </c>
    </row>
    <row r="70">
      <c r="A70" s="41" t="inlineStr">
        <is>
          <t>verbal_proof再延長(NF3-S4-1)</t>
        </is>
      </c>
      <c r="B70" s="41" t="inlineStr">
        <is>
          <t>extension_count最大3回</t>
        </is>
      </c>
      <c r="C70" s="41" t="inlineStr">
        <is>
          <t>pre_consent_audio_buffers.extension_count + extension_log</t>
        </is>
      </c>
      <c r="D70" s="41" t="inlineStr">
        <is>
          <t>SOPに『再延長承認は admin+legal 二者必須』</t>
        </is>
      </c>
      <c r="E70" s="41" t="inlineStr">
        <is>
          <t>extension_log JSONB</t>
        </is>
      </c>
      <c r="F70" s="41" t="inlineStr">
        <is>
          <t>P2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8" customWidth="1" style="28" min="2" max="2"/>
    <col width="32" customWidth="1" style="28" min="3" max="3"/>
    <col width="18" customWidth="1" style="28" min="4" max="4"/>
    <col width="25" customWidth="1" style="28" min="5" max="5"/>
    <col width="6" customWidth="1" style="28" min="6" max="6"/>
  </cols>
  <sheetData>
    <row r="1">
      <c r="A1" s="56" t="inlineStr">
        <is>
          <t>オフライン・モバイル仕様</t>
        </is>
      </c>
    </row>
    <row r="2">
      <c r="A2" s="57" t="inlineStr">
        <is>
          <t>Service Worker / IndexedDB / 片手UI / PWA</t>
        </is>
      </c>
    </row>
    <row r="4">
      <c r="A4" s="58" t="inlineStr">
        <is>
          <t>領域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容量/上限</t>
        </is>
      </c>
      <c r="E4" s="58" t="inlineStr">
        <is>
          <t>フォールバック</t>
        </is>
      </c>
      <c r="F4" s="58" t="inlineStr">
        <is>
          <t>Phase</t>
        </is>
      </c>
    </row>
    <row r="5">
      <c r="A5" s="59" t="inlineStr">
        <is>
          <t>撮影</t>
        </is>
      </c>
      <c r="B5" s="59" t="inlineStr">
        <is>
          <t>暗所/反射補正</t>
        </is>
      </c>
      <c r="C5" s="59" t="inlineStr">
        <is>
          <t>OpenCV.js+静止検出+ガイド枠</t>
        </is>
      </c>
      <c r="D5" s="59" t="inlineStr">
        <is>
          <t>-</t>
        </is>
      </c>
      <c r="E5" s="59" t="inlineStr">
        <is>
          <t>手動補正+ヘルプ</t>
        </is>
      </c>
      <c r="F5" s="59" t="inlineStr">
        <is>
          <t>P1</t>
        </is>
      </c>
    </row>
    <row r="6">
      <c r="A6" s="59" t="inlineStr">
        <is>
          <t>撮影</t>
        </is>
      </c>
      <c r="B6" s="59" t="inlineStr">
        <is>
          <t>フラッシュON</t>
        </is>
      </c>
      <c r="C6" s="59" t="inlineStr">
        <is>
          <t>MediaDevices torch</t>
        </is>
      </c>
      <c r="D6" s="59" t="inlineStr">
        <is>
          <t>-</t>
        </is>
      </c>
      <c r="E6" s="59" t="inlineStr">
        <is>
          <t>明度補正</t>
        </is>
      </c>
      <c r="F6" s="59" t="inlineStr">
        <is>
          <t>P1</t>
        </is>
      </c>
    </row>
    <row r="7">
      <c r="A7" s="59" t="inlineStr">
        <is>
          <t>撮影</t>
        </is>
      </c>
      <c r="B7" s="59" t="inlineStr">
        <is>
          <t>ハプティクス</t>
        </is>
      </c>
      <c r="C7" s="59" t="inlineStr">
        <is>
          <t>navigator.vibrate</t>
        </is>
      </c>
      <c r="D7" s="59" t="inlineStr">
        <is>
          <t>-</t>
        </is>
      </c>
      <c r="E7" s="59" t="inlineStr">
        <is>
          <t>視覚フィードバック</t>
        </is>
      </c>
      <c r="F7" s="59" t="inlineStr">
        <is>
          <t>P1</t>
        </is>
      </c>
    </row>
    <row r="8">
      <c r="A8" s="59" t="inlineStr">
        <is>
          <t>オフラインキュー</t>
        </is>
      </c>
      <c r="B8" s="59" t="inlineStr">
        <is>
          <t>100件</t>
        </is>
      </c>
      <c r="C8" s="59" t="inlineStr">
        <is>
          <t>IndexedDB(idb)+SW sync</t>
        </is>
      </c>
      <c r="D8" s="59" t="inlineStr">
        <is>
          <t>100件/100MB</t>
        </is>
      </c>
      <c r="E8" s="59" t="inlineStr">
        <is>
          <t>UI badge</t>
        </is>
      </c>
      <c r="F8" s="59" t="inlineStr">
        <is>
          <t>P1</t>
        </is>
      </c>
    </row>
    <row r="9">
      <c r="A9" s="59" t="inlineStr">
        <is>
          <t>オフライン議事録</t>
        </is>
      </c>
      <c r="B9" s="59" t="inlineStr">
        <is>
          <t>直近10件</t>
        </is>
      </c>
      <c r="C9" s="59" t="inlineStr">
        <is>
          <t>SW cache(stale-while-revalidate)</t>
        </is>
      </c>
      <c r="D9" s="59" t="inlineStr">
        <is>
          <t>100MB</t>
        </is>
      </c>
      <c r="E9" s="59" t="inlineStr">
        <is>
          <t>online要</t>
        </is>
      </c>
      <c r="F9" s="59" t="inlineStr">
        <is>
          <t>P2</t>
        </is>
      </c>
    </row>
    <row r="10">
      <c r="A10" s="59" t="inlineStr">
        <is>
          <t>音声メモ</t>
        </is>
      </c>
      <c r="B10" s="59" t="inlineStr">
        <is>
          <t>60秒</t>
        </is>
      </c>
      <c r="C10" s="59" t="inlineStr">
        <is>
          <t>MediaRecorder+upload</t>
        </is>
      </c>
      <c r="D10" s="59" t="inlineStr">
        <is>
          <t>60秒/5MB</t>
        </is>
      </c>
      <c r="E10" s="59" t="inlineStr">
        <is>
          <t>-</t>
        </is>
      </c>
      <c r="F10" s="59" t="inlineStr">
        <is>
          <t>P2</t>
        </is>
      </c>
    </row>
    <row r="11">
      <c r="A11" s="59" t="inlineStr">
        <is>
          <t>プッシュ通知</t>
        </is>
      </c>
      <c r="B11" s="59" t="inlineStr">
        <is>
          <t>Web Push</t>
        </is>
      </c>
      <c r="C11" s="59" t="inlineStr">
        <is>
          <t>VAPID+SW</t>
        </is>
      </c>
      <c r="D11" s="59" t="inlineStr">
        <is>
          <t>-</t>
        </is>
      </c>
      <c r="E11" s="59" t="inlineStr">
        <is>
          <t>Email/Slack</t>
        </is>
      </c>
      <c r="F11" s="59" t="inlineStr">
        <is>
          <t>P2</t>
        </is>
      </c>
    </row>
    <row r="12">
      <c r="A12" s="59" t="inlineStr">
        <is>
          <t>片手UI</t>
        </is>
      </c>
      <c r="B12" s="59" t="inlineStr">
        <is>
          <t>bottom_action_bar</t>
        </is>
      </c>
      <c r="C12" s="59" t="inlineStr">
        <is>
          <t>Tailwind+Safe Area</t>
        </is>
      </c>
      <c r="D12" s="59" t="inlineStr">
        <is>
          <t>-</t>
        </is>
      </c>
      <c r="E12" s="59" t="inlineStr">
        <is>
          <t>-</t>
        </is>
      </c>
      <c r="F12" s="59" t="inlineStr">
        <is>
          <t>P1</t>
        </is>
      </c>
    </row>
    <row r="13">
      <c r="A13" s="59" t="inlineStr">
        <is>
          <t>クイック検索</t>
        </is>
      </c>
      <c r="B13" s="59" t="inlineStr">
        <is>
          <t>オフライン優先</t>
        </is>
      </c>
      <c r="C13" s="59" t="inlineStr">
        <is>
          <t>IndexedDB index+online merge</t>
        </is>
      </c>
      <c r="D13" s="59" t="inlineStr">
        <is>
          <t>-</t>
        </is>
      </c>
      <c r="E13" s="59" t="inlineStr">
        <is>
          <t>online検索</t>
        </is>
      </c>
      <c r="F13" s="59" t="inlineStr">
        <is>
          <t>P1</t>
        </is>
      </c>
    </row>
    <row r="14">
      <c r="A14" s="59" t="inlineStr">
        <is>
          <t>イベントタグ</t>
        </is>
      </c>
      <c r="B14" s="59" t="inlineStr">
        <is>
          <t>セッション中アクティブ</t>
        </is>
      </c>
      <c r="C14" s="59" t="inlineStr">
        <is>
          <t>SW activeEvent state</t>
        </is>
      </c>
      <c r="D14" s="59" t="inlineStr">
        <is>
          <t>-</t>
        </is>
      </c>
      <c r="E14" s="59" t="inlineStr">
        <is>
          <t>手動入力</t>
        </is>
      </c>
      <c r="F14" s="59" t="inlineStr">
        <is>
          <t>P2</t>
        </is>
      </c>
    </row>
    <row r="15">
      <c r="A15" s="59" t="inlineStr">
        <is>
          <t>GPS(任意)</t>
        </is>
      </c>
      <c r="B15" s="59" t="inlineStr">
        <is>
          <t>撮影位置</t>
        </is>
      </c>
      <c r="C15" s="59" t="inlineStr">
        <is>
          <t>Geolocation API</t>
        </is>
      </c>
      <c r="D15" s="59" t="inlineStr">
        <is>
          <t>-</t>
        </is>
      </c>
      <c r="E15" s="59" t="inlineStr">
        <is>
          <t>入力なし</t>
        </is>
      </c>
      <c r="F15" s="59" t="inlineStr">
        <is>
          <t>P2</t>
        </is>
      </c>
    </row>
    <row r="16">
      <c r="A16" s="59" t="inlineStr">
        <is>
          <t>バッテリー配慮</t>
        </is>
      </c>
      <c r="B16" s="59" t="inlineStr">
        <is>
          <t>負荷軽減</t>
        </is>
      </c>
      <c r="C16" s="59" t="inlineStr">
        <is>
          <t>WebWorker分離</t>
        </is>
      </c>
      <c r="D16" s="59" t="inlineStr">
        <is>
          <t>-</t>
        </is>
      </c>
      <c r="E16" s="59" t="inlineStr">
        <is>
          <t>-</t>
        </is>
      </c>
      <c r="F16" s="59" t="inlineStr">
        <is>
          <t>P2</t>
        </is>
      </c>
    </row>
    <row r="17">
      <c r="A17" s="59" t="inlineStr">
        <is>
          <t>端末性能</t>
        </is>
      </c>
      <c r="B17" s="59" t="inlineStr">
        <is>
          <t>旧端末配慮</t>
        </is>
      </c>
      <c r="C17" s="59" t="inlineStr">
        <is>
          <t>frame skip+品質ダウン</t>
        </is>
      </c>
      <c r="D17" s="59" t="inlineStr">
        <is>
          <t>-</t>
        </is>
      </c>
      <c r="E17" s="59" t="inlineStr">
        <is>
          <t>-</t>
        </is>
      </c>
      <c r="F17" s="59" t="inlineStr">
        <is>
          <t>P2</t>
        </is>
      </c>
    </row>
    <row r="18">
      <c r="A18" s="59" t="inlineStr">
        <is>
          <t>PWA Install</t>
        </is>
      </c>
      <c r="B18" s="59" t="inlineStr">
        <is>
          <t>ホーム追加</t>
        </is>
      </c>
      <c r="C18" s="59" t="inlineStr">
        <is>
          <t>manifest.json+SW</t>
        </is>
      </c>
      <c r="D18" s="59" t="inlineStr">
        <is>
          <t>-</t>
        </is>
      </c>
      <c r="E18" s="59" t="inlineStr">
        <is>
          <t>ブラウザ</t>
        </is>
      </c>
      <c r="F18" s="59" t="inlineStr">
        <is>
          <t>P1</t>
        </is>
      </c>
    </row>
    <row r="19">
      <c r="A19" s="59" t="inlineStr">
        <is>
          <t>クロス端末</t>
        </is>
      </c>
      <c r="B19" s="59" t="inlineStr">
        <is>
          <t>Realtime同期</t>
        </is>
      </c>
      <c r="C19" s="59" t="inlineStr">
        <is>
          <t>Supabase channels</t>
        </is>
      </c>
      <c r="D19" s="59" t="inlineStr">
        <is>
          <t>100conn</t>
        </is>
      </c>
      <c r="E19" s="59" t="inlineStr">
        <is>
          <t>reconnect</t>
        </is>
      </c>
      <c r="F19" s="59" t="inlineStr">
        <is>
          <t>P2</t>
        </is>
      </c>
    </row>
    <row r="20">
      <c r="A20" s="59" t="inlineStr">
        <is>
          <t>権限要求</t>
        </is>
      </c>
      <c r="B20" s="59" t="inlineStr">
        <is>
          <t>カメラ/マイク/位置/通知</t>
        </is>
      </c>
      <c r="C20" s="59" t="inlineStr">
        <is>
          <t>UIプロンプト</t>
        </is>
      </c>
      <c r="D20" s="59" t="inlineStr">
        <is>
          <t>-</t>
        </is>
      </c>
      <c r="E20" s="59" t="inlineStr">
        <is>
          <t>-</t>
        </is>
      </c>
      <c r="F20" s="59" t="inlineStr">
        <is>
          <t>P1</t>
        </is>
      </c>
    </row>
    <row r="21">
      <c r="A21" s="59" t="inlineStr">
        <is>
          <t>ストレージ枯渇</t>
        </is>
      </c>
      <c r="B21" s="59" t="inlineStr">
        <is>
          <t>容量警告</t>
        </is>
      </c>
      <c r="C21" s="59" t="inlineStr">
        <is>
          <t>quota API監視</t>
        </is>
      </c>
      <c r="D21" s="59" t="inlineStr">
        <is>
          <t>-</t>
        </is>
      </c>
      <c r="E21" s="59" t="inlineStr">
        <is>
          <t>古いデータ削除</t>
        </is>
      </c>
      <c r="F21" s="59" t="inlineStr">
        <is>
          <t>P2</t>
        </is>
      </c>
    </row>
    <row r="22">
      <c r="A22" s="59" t="inlineStr">
        <is>
          <t>バックグラウンド同期</t>
        </is>
      </c>
      <c r="B22" s="59" t="inlineStr">
        <is>
          <t>SW Background Sync</t>
        </is>
      </c>
      <c r="C22" s="59" t="inlineStr">
        <is>
          <t>-</t>
        </is>
      </c>
      <c r="D22" s="59" t="inlineStr">
        <is>
          <t>-</t>
        </is>
      </c>
      <c r="E22" s="59" t="inlineStr">
        <is>
          <t>アプリ起動時同期</t>
        </is>
      </c>
      <c r="F22" s="59" t="inlineStr">
        <is>
          <t>P2</t>
        </is>
      </c>
    </row>
    <row r="24">
      <c r="A24" s="41" t="inlineStr">
        <is>
          <t>■ Round1指摘反映追加(v2.1)</t>
        </is>
      </c>
      <c r="B24" s="41" t="n"/>
      <c r="C24" s="41" t="n"/>
      <c r="D24" s="41" t="n"/>
      <c r="E24" s="41" t="n"/>
      <c r="F24" s="41" t="n"/>
    </row>
    <row r="25">
      <c r="A25" s="41" t="inlineStr">
        <is>
          <t>領域</t>
        </is>
      </c>
      <c r="B25" s="41" t="inlineStr">
        <is>
          <t>要件</t>
        </is>
      </c>
      <c r="C25" s="41" t="inlineStr">
        <is>
          <t>実装</t>
        </is>
      </c>
      <c r="D25" s="41" t="inlineStr">
        <is>
          <t>容量/上限</t>
        </is>
      </c>
      <c r="E25" s="41" t="inlineStr">
        <is>
          <t>フォールバック</t>
        </is>
      </c>
      <c r="F25" s="41" t="inlineStr">
        <is>
          <t>Phase</t>
        </is>
      </c>
    </row>
    <row r="26">
      <c r="A26" s="41" t="inlineStr">
        <is>
          <t>IndexedDB暗号化(M-18)</t>
        </is>
      </c>
      <c r="B26" s="41" t="inlineStr">
        <is>
          <t>PII保護</t>
        </is>
      </c>
      <c r="C26" s="41" t="inlineStr">
        <is>
          <t>libsodium wrap, key=session-bound</t>
        </is>
      </c>
      <c r="D26" s="41" t="inlineStr">
        <is>
          <t>-</t>
        </is>
      </c>
      <c r="E26" s="41" t="inlineStr">
        <is>
          <t>ログアウトでwipe</t>
        </is>
      </c>
      <c r="F26" s="41" t="inlineStr">
        <is>
          <t>P1</t>
        </is>
      </c>
    </row>
    <row r="27">
      <c r="A27" s="41" t="inlineStr">
        <is>
          <t>LRU eviction(M-18)</t>
        </is>
      </c>
      <c r="B27" s="41" t="inlineStr">
        <is>
          <t>容量超過</t>
        </is>
      </c>
      <c r="C27" s="41" t="inlineStr">
        <is>
          <t>FIFO/LRU+未同期データ保持</t>
        </is>
      </c>
      <c r="D27" s="41" t="inlineStr">
        <is>
          <t>-</t>
        </is>
      </c>
      <c r="E27" s="41" t="inlineStr">
        <is>
          <t>-</t>
        </is>
      </c>
      <c r="F27" s="41" t="inlineStr">
        <is>
          <t>P1</t>
        </is>
      </c>
    </row>
    <row r="28">
      <c r="A28" s="41" t="inlineStr">
        <is>
          <t>音声中断ハンドリング(G-4)</t>
        </is>
      </c>
      <c r="B28" s="41" t="inlineStr">
        <is>
          <t>電話/BG/BT切替</t>
        </is>
      </c>
      <c r="C28" s="41" t="inlineStr">
        <is>
          <t>onInterrupt→部分IndexedDB保存→再開prompt</t>
        </is>
      </c>
      <c r="D28" s="41" t="inlineStr">
        <is>
          <t>-</t>
        </is>
      </c>
      <c r="E28" s="41" t="inlineStr">
        <is>
          <t>UI明示</t>
        </is>
      </c>
      <c r="F28" s="41" t="inlineStr">
        <is>
          <t>P2</t>
        </is>
      </c>
    </row>
    <row r="29">
      <c r="A29" s="41" t="inlineStr">
        <is>
          <t>騒音抑制(G-9)</t>
        </is>
      </c>
      <c r="B29" s="41" t="inlineStr">
        <is>
          <t>録音前処理</t>
        </is>
      </c>
      <c r="C29" s="41" t="inlineStr">
        <is>
          <t>RNNoise/WebAudio noise suppression</t>
        </is>
      </c>
      <c r="D29" s="41" t="inlineStr">
        <is>
          <t>-</t>
        </is>
      </c>
      <c r="E29" s="41" t="inlineStr">
        <is>
          <t>SNR&lt;10dB warning+再録</t>
        </is>
      </c>
      <c r="F29" s="41" t="inlineStr">
        <is>
          <t>P2</t>
        </is>
      </c>
    </row>
    <row r="30">
      <c r="A30" s="41" t="inlineStr">
        <is>
          <t>Pin for offline(G-14)</t>
        </is>
      </c>
      <c r="B30" s="41" t="inlineStr">
        <is>
          <t>ユーザー指定キャッシュ</t>
        </is>
      </c>
      <c r="C30" s="41" t="inlineStr">
        <is>
          <t>service_worker_cache_manifest pinned_items</t>
        </is>
      </c>
      <c r="D30" s="41" t="inlineStr">
        <is>
          <t>100MB</t>
        </is>
      </c>
      <c r="E30" s="41" t="inlineStr">
        <is>
          <t>SW+UI</t>
        </is>
      </c>
      <c r="F30" s="41" t="inlineStr">
        <is>
          <t>P2</t>
        </is>
      </c>
    </row>
    <row r="31">
      <c r="A31" s="41" t="inlineStr">
        <is>
          <t>撮影前ガイド(G-7)</t>
        </is>
      </c>
      <c r="B31" s="41" t="inlineStr">
        <is>
          <t>blur/exposure 即時算出</t>
        </is>
      </c>
      <c r="C31" s="41" t="inlineStr">
        <is>
          <t>CameraView</t>
        </is>
      </c>
      <c r="D31" s="41" t="inlineStr">
        <is>
          <t>-</t>
        </is>
      </c>
      <c r="E31" s="41" t="inlineStr">
        <is>
          <t>-</t>
        </is>
      </c>
      <c r="F31" s="41" t="inlineStr">
        <is>
          <t>P1</t>
        </is>
      </c>
    </row>
    <row r="32">
      <c r="A32" s="41" t="inlineStr">
        <is>
          <t>バーストreview(G-8)</t>
        </is>
      </c>
      <c r="B32" s="41" t="inlineStr">
        <is>
          <t>100枚連続</t>
        </is>
      </c>
      <c r="C32" s="41" t="inlineStr">
        <is>
          <t>横スワイプ+共通項目一括適用+チャンク非同期OCR</t>
        </is>
      </c>
      <c r="D32" s="41" t="inlineStr">
        <is>
          <t>-</t>
        </is>
      </c>
      <c r="E32" s="41" t="inlineStr">
        <is>
          <t>-</t>
        </is>
      </c>
      <c r="F32" s="41" t="inlineStr">
        <is>
          <t>P1</t>
        </is>
      </c>
    </row>
    <row r="33">
      <c r="A33" s="41" t="inlineStr">
        <is>
          <t>iOS PWA install(G-25)</t>
        </is>
      </c>
      <c r="B33" s="41" t="inlineStr">
        <is>
          <t>通知前提</t>
        </is>
      </c>
      <c r="C33" s="41" t="inlineStr">
        <is>
          <t>SC-66 install gate</t>
        </is>
      </c>
      <c r="D33" s="41" t="inlineStr">
        <is>
          <t>-</t>
        </is>
      </c>
      <c r="E33" s="41" t="inlineStr">
        <is>
          <t>-</t>
        </is>
      </c>
      <c r="F33" s="41" t="inlineStr">
        <is>
          <t>P2</t>
        </is>
      </c>
    </row>
    <row r="34">
      <c r="A34" s="41" t="inlineStr">
        <is>
          <t>CTI着信(G-1)</t>
        </is>
      </c>
      <c r="B34" s="41" t="inlineStr">
        <is>
          <t>電話アプリ連動</t>
        </is>
      </c>
      <c r="C34" s="41" t="inlineStr">
        <is>
          <t>WebRTC or デスクトップアプリ橋渡し</t>
        </is>
      </c>
      <c r="D34" s="41" t="inlineStr">
        <is>
          <t>-</t>
        </is>
      </c>
      <c r="E34" s="41" t="inlineStr">
        <is>
          <t>manual pad</t>
        </is>
      </c>
      <c r="F34" s="41" t="inlineStr">
        <is>
          <t>P3</t>
        </is>
      </c>
    </row>
    <row r="36">
      <c r="A36" s="41" t="inlineStr">
        <is>
          <t>■ v2.3 追加(実演シミュ反映)</t>
        </is>
      </c>
      <c r="B36" s="41" t="n"/>
      <c r="C36" s="41" t="n"/>
      <c r="D36" s="41" t="n"/>
      <c r="E36" s="41" t="n"/>
      <c r="F36" s="41" t="n"/>
    </row>
    <row r="37">
      <c r="A37" s="41" t="inlineStr">
        <is>
          <t>領域</t>
        </is>
      </c>
      <c r="B37" s="41" t="inlineStr">
        <is>
          <t>要件</t>
        </is>
      </c>
      <c r="C37" s="41" t="inlineStr">
        <is>
          <t>実装</t>
        </is>
      </c>
      <c r="D37" s="41" t="inlineStr">
        <is>
          <t>容量/上限</t>
        </is>
      </c>
      <c r="E37" s="41" t="inlineStr">
        <is>
          <t>フォールバック</t>
        </is>
      </c>
      <c r="F37" s="41" t="inlineStr">
        <is>
          <t>Phase</t>
        </is>
      </c>
    </row>
    <row r="38">
      <c r="A38" s="41" t="inlineStr">
        <is>
          <t>fallback_capture_mode(F-S1-1)</t>
        </is>
      </c>
      <c r="B38" s="41" t="inlineStr">
        <is>
          <t>揺れ/暗所代替シャッター</t>
        </is>
      </c>
      <c r="C38" s="41" t="inlineStr">
        <is>
          <t>volume_button_shutter+long_press_shutter+voice_command+静止判定3s→1s</t>
        </is>
      </c>
      <c r="D38" s="41" t="inlineStr">
        <is>
          <t>-</t>
        </is>
      </c>
      <c r="E38" s="41" t="inlineStr">
        <is>
          <t>手動シャッター</t>
        </is>
      </c>
      <c r="F38" s="41" t="inlineStr">
        <is>
          <t>P1</t>
        </is>
      </c>
    </row>
    <row r="39">
      <c r="A39" s="41" t="inlineStr">
        <is>
          <t>handedness P1昇格(F-S1-1)</t>
        </is>
      </c>
      <c r="B39" s="41" t="inlineStr">
        <is>
          <t>左右利きCSSミラーリング</t>
        </is>
      </c>
      <c r="C39" s="41" t="inlineStr">
        <is>
          <t>Tailwind logical+ユーザ設定</t>
        </is>
      </c>
      <c r="D39" s="41" t="inlineStr">
        <is>
          <t>-</t>
        </is>
      </c>
      <c r="E39" s="41" t="inlineStr">
        <is>
          <t>UI rev</t>
        </is>
      </c>
      <c r="F39" s="41" t="inlineStr">
        <is>
          <t>P1</t>
        </is>
      </c>
    </row>
    <row r="40">
      <c r="A40" s="41" t="inlineStr">
        <is>
          <t>voice_memo segments(F-S14-2)</t>
        </is>
      </c>
      <c r="B40" s="41" t="inlineStr">
        <is>
          <t>中断分割</t>
        </is>
      </c>
      <c r="C40" s="41" t="inlineStr">
        <is>
          <t>onInterrupt→IndexedDB+segment[]+最終連結</t>
        </is>
      </c>
      <c r="D40" s="41" t="inlineStr">
        <is>
          <t>60秒/合計</t>
        </is>
      </c>
      <c r="E40" s="41" t="inlineStr">
        <is>
          <t>abandon時部分保存</t>
        </is>
      </c>
      <c r="F40" s="41" t="inlineStr">
        <is>
          <t>P2</t>
        </is>
      </c>
    </row>
    <row r="41">
      <c r="A41" s="41" t="inlineStr">
        <is>
          <t>sync_success_badge(F-S14-3)</t>
        </is>
      </c>
      <c r="B41" s="41" t="inlineStr">
        <is>
          <t>同期成功通知</t>
        </is>
      </c>
      <c r="C41" s="41" t="inlineStr">
        <is>
          <t>toast(throttle 10s bundle)</t>
        </is>
      </c>
      <c r="D41" s="41" t="inlineStr">
        <is>
          <t>-</t>
        </is>
      </c>
      <c r="E41" s="41" t="inlineStr">
        <is>
          <t>-</t>
        </is>
      </c>
      <c r="F41" s="41" t="inlineStr">
        <is>
          <t>P2</t>
        </is>
      </c>
    </row>
    <row r="42">
      <c r="A42" s="41" t="inlineStr">
        <is>
          <t>IndexedDB wipe強化(F-S14-1)</t>
        </is>
      </c>
      <c r="B42" s="41" t="inlineStr">
        <is>
          <t>is_active=false即時wipe</t>
        </is>
      </c>
      <c r="C42" s="41" t="inlineStr">
        <is>
          <t>SW boot時+session-bound key TTL+logout</t>
        </is>
      </c>
      <c r="D42" s="41" t="inlineStr">
        <is>
          <t>-</t>
        </is>
      </c>
      <c r="E42" s="41" t="inlineStr">
        <is>
          <t>-</t>
        </is>
      </c>
      <c r="F42" s="41" t="inlineStr">
        <is>
          <t>P1</t>
        </is>
      </c>
    </row>
    <row r="43">
      <c r="A43" s="41" t="inlineStr">
        <is>
          <t>MeetingPicker offlineキャッシュ範囲</t>
        </is>
      </c>
      <c r="B43" s="41" t="inlineStr">
        <is>
          <t>直近30日 or pinned</t>
        </is>
      </c>
      <c r="C43" s="41" t="inlineStr">
        <is>
          <t>SW cache</t>
        </is>
      </c>
      <c r="D43" s="41" t="inlineStr">
        <is>
          <t>100MB</t>
        </is>
      </c>
      <c r="E43" s="41" t="inlineStr">
        <is>
          <t>-</t>
        </is>
      </c>
      <c r="F43" s="41" t="inlineStr">
        <is>
          <t>P2</t>
        </is>
      </c>
    </row>
    <row r="44">
      <c r="A44" s="41" t="inlineStr">
        <is>
          <t>Zoom historical retry UI(F-S14-4)</t>
        </is>
      </c>
      <c r="B44" s="41" t="inlineStr">
        <is>
          <t>429 backoff+残り本数</t>
        </is>
      </c>
      <c r="C44" s="41" t="inlineStr">
        <is>
          <t>SC-63に進捗表示</t>
        </is>
      </c>
      <c r="D44" s="41" t="inlineStr">
        <is>
          <t>-</t>
        </is>
      </c>
      <c r="E44" s="41" t="inlineStr">
        <is>
          <t>リトライキュー</t>
        </is>
      </c>
      <c r="F44" s="41" t="inlineStr">
        <is>
          <t>P3</t>
        </is>
      </c>
    </row>
    <row r="45">
      <c r="A45" s="41" t="inlineStr">
        <is>
          <t>Recorder handedness mirror</t>
        </is>
      </c>
      <c r="B45" s="41" t="inlineStr">
        <is>
          <t>片手UI Recorder</t>
        </is>
      </c>
      <c r="C45" s="41" t="inlineStr">
        <is>
          <t>bottom_action_bar+CSS logical</t>
        </is>
      </c>
      <c r="D45" s="41" t="inlineStr">
        <is>
          <t>-</t>
        </is>
      </c>
      <c r="E45" s="41" t="inlineStr">
        <is>
          <t>-</t>
        </is>
      </c>
      <c r="F45" s="41" t="inlineStr">
        <is>
          <t>P1</t>
        </is>
      </c>
    </row>
    <row r="47">
      <c r="A47" s="41" t="inlineStr">
        <is>
          <t>■ v2.4 追加(再シミュ残課題)</t>
        </is>
      </c>
      <c r="B47" s="41" t="n"/>
      <c r="C47" s="41" t="n"/>
      <c r="D47" s="41" t="n"/>
      <c r="E47" s="41" t="n"/>
      <c r="F47" s="41" t="n"/>
    </row>
    <row r="48">
      <c r="A48" s="41" t="inlineStr">
        <is>
          <t>領域</t>
        </is>
      </c>
      <c r="B48" s="41" t="inlineStr">
        <is>
          <t>要件</t>
        </is>
      </c>
      <c r="C48" s="41" t="inlineStr">
        <is>
          <t>実装</t>
        </is>
      </c>
      <c r="D48" s="41" t="inlineStr">
        <is>
          <t>容量/上限</t>
        </is>
      </c>
      <c r="E48" s="41" t="inlineStr">
        <is>
          <t>フォールバック</t>
        </is>
      </c>
      <c r="F48" s="41" t="inlineStr">
        <is>
          <t>Phase</t>
        </is>
      </c>
    </row>
    <row r="49">
      <c r="A49" s="41" t="inlineStr">
        <is>
          <t>voice_command shutter フォールバック(NF-S1-1再点検)</t>
        </is>
      </c>
      <c r="B49" s="41" t="inlineStr">
        <is>
          <t>騒音時の誤検知</t>
        </is>
      </c>
      <c r="C49" s="41" t="inlineStr">
        <is>
          <t>SNR&lt;10dB時はvoice_commandを無効化、volume_button_shutterをデフォルト昇格</t>
        </is>
      </c>
      <c r="D49" s="41" t="inlineStr">
        <is>
          <t>-</t>
        </is>
      </c>
      <c r="E49" s="41" t="inlineStr">
        <is>
          <t>tap手動</t>
        </is>
      </c>
      <c r="F49" s="41" t="inlineStr">
        <is>
          <t>P1</t>
        </is>
      </c>
    </row>
    <row r="50">
      <c r="A50" s="41" t="inlineStr">
        <is>
          <t>fallback順序明記</t>
        </is>
      </c>
      <c r="B50" s="41" t="inlineStr">
        <is>
          <t>-</t>
        </is>
      </c>
      <c r="C50" s="41" t="inlineStr">
        <is>
          <t>volume_button &gt; long_press &gt; 3s_relax &gt; voice_command(SNR&gt;10)</t>
        </is>
      </c>
      <c r="D50" s="41" t="inlineStr">
        <is>
          <t>-</t>
        </is>
      </c>
      <c r="E50" s="41" t="inlineStr">
        <is>
          <t>-</t>
        </is>
      </c>
      <c r="F50" s="41" t="inlineStr">
        <is>
          <t>P1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2" customWidth="1" style="28" min="2" max="2"/>
    <col width="32" customWidth="1" style="28" min="3" max="3"/>
    <col width="18" customWidth="1" style="28" min="4" max="4"/>
    <col width="22" customWidth="1" style="28" min="5" max="5"/>
    <col width="6" customWidth="1" style="28" min="6" max="6"/>
  </cols>
  <sheetData>
    <row r="1">
      <c r="A1" s="56" t="inlineStr">
        <is>
          <t>検索/ナレッジ品質</t>
        </is>
      </c>
    </row>
    <row r="2">
      <c r="A2" s="57" t="inlineStr">
        <is>
          <t>ハイブリッド検索/ハルシネーション抑止/古い情報</t>
        </is>
      </c>
    </row>
    <row r="4">
      <c r="A4" s="58" t="inlineStr">
        <is>
          <t>項目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しきい値</t>
        </is>
      </c>
      <c r="E4" s="58" t="inlineStr">
        <is>
          <t>計測</t>
        </is>
      </c>
      <c r="F4" s="58" t="inlineStr">
        <is>
          <t>Phase</t>
        </is>
      </c>
    </row>
    <row r="5">
      <c r="A5" s="59" t="inlineStr">
        <is>
          <t>ハイブリッド検索</t>
        </is>
      </c>
      <c r="B5" s="59" t="inlineStr">
        <is>
          <t>BM25+vector+recency</t>
        </is>
      </c>
      <c r="C5" s="59" t="inlineStr">
        <is>
          <t>重み 0.4/0.4/0.2</t>
        </is>
      </c>
      <c r="D5" s="59" t="inlineStr">
        <is>
          <t>top200→rerank top20</t>
        </is>
      </c>
      <c r="E5" s="59" t="inlineStr">
        <is>
          <t>NDCG@10</t>
        </is>
      </c>
      <c r="F5" s="59" t="inlineStr">
        <is>
          <t>P1</t>
        </is>
      </c>
    </row>
    <row r="6">
      <c r="A6" s="59" t="inlineStr">
        <is>
          <t>ランキング理由</t>
        </is>
      </c>
      <c r="B6" s="59" t="inlineStr">
        <is>
          <t>透明性</t>
        </is>
      </c>
      <c r="C6" s="59" t="inlineStr">
        <is>
          <t>explain(BM25/vec/recency分解)</t>
        </is>
      </c>
      <c r="D6" s="59" t="inlineStr">
        <is>
          <t>UIで提示</t>
        </is>
      </c>
      <c r="E6" s="59" t="inlineStr">
        <is>
          <t>-</t>
        </is>
      </c>
      <c r="F6" s="59" t="inlineStr">
        <is>
          <t>P1</t>
        </is>
      </c>
    </row>
    <row r="7">
      <c r="A7" s="59" t="inlineStr">
        <is>
          <t>時系列パース</t>
        </is>
      </c>
      <c r="B7" s="59" t="inlineStr">
        <is>
          <t>「○年○月頃」</t>
        </is>
      </c>
      <c r="C7" s="59" t="inlineStr">
        <is>
          <t>LP-22</t>
        </is>
      </c>
      <c r="D7" s="59" t="inlineStr">
        <is>
          <t>range±2週</t>
        </is>
      </c>
      <c r="E7" s="59" t="inlineStr">
        <is>
          <t>回帰テスト</t>
        </is>
      </c>
      <c r="F7" s="59" t="inlineStr">
        <is>
          <t>P2</t>
        </is>
      </c>
    </row>
    <row r="8">
      <c r="A8" s="59" t="inlineStr">
        <is>
          <t>話者フィルタ</t>
        </is>
      </c>
      <c r="B8" s="59" t="inlineStr">
        <is>
          <t>自分宛/特定話者</t>
        </is>
      </c>
      <c r="C8" s="59" t="inlineStr">
        <is>
          <t>speaker_filter</t>
        </is>
      </c>
      <c r="D8" s="59" t="inlineStr">
        <is>
          <t>-</t>
        </is>
      </c>
      <c r="E8" s="59" t="inlineStr">
        <is>
          <t>-</t>
        </is>
      </c>
      <c r="F8" s="59" t="inlineStr">
        <is>
          <t>P1</t>
        </is>
      </c>
    </row>
    <row r="9">
      <c r="A9" s="59" t="inlineStr">
        <is>
          <t>古い情報</t>
        </is>
      </c>
      <c r="B9" s="59" t="inlineStr">
        <is>
          <t>deprecated_at</t>
        </is>
      </c>
      <c r="C9" s="59" t="inlineStr">
        <is>
          <t>badge+filter+検索除外オプション</t>
        </is>
      </c>
      <c r="D9" s="59" t="inlineStr">
        <is>
          <t>UI明示</t>
        </is>
      </c>
      <c r="E9" s="59" t="inlineStr">
        <is>
          <t>-</t>
        </is>
      </c>
      <c r="F9" s="59" t="inlineStr">
        <is>
          <t>P2</t>
        </is>
      </c>
    </row>
    <row r="10">
      <c r="A10" s="59" t="inlineStr">
        <is>
          <t>撤回情報</t>
        </is>
      </c>
      <c r="B10" s="59" t="inlineStr">
        <is>
          <t>replaced_by</t>
        </is>
      </c>
      <c r="C10" s="59" t="inlineStr">
        <is>
          <t>次バージョン誘導</t>
        </is>
      </c>
      <c r="D10" s="59" t="inlineStr">
        <is>
          <t>-</t>
        </is>
      </c>
      <c r="E10" s="59" t="inlineStr">
        <is>
          <t>-</t>
        </is>
      </c>
      <c r="F10" s="59" t="inlineStr">
        <is>
          <t>P2</t>
        </is>
      </c>
    </row>
    <row r="11">
      <c r="A11" s="59" t="inlineStr">
        <is>
          <t>ハルシネーション</t>
        </is>
      </c>
      <c r="B11" s="59" t="inlineStr">
        <is>
          <t>出典必須</t>
        </is>
      </c>
      <c r="C11" s="59" t="inlineStr">
        <is>
          <t>RAG router+引用必須プロンプト+no_answer許容</t>
        </is>
      </c>
      <c r="D11" s="59" t="inlineStr">
        <is>
          <t>引用率100%</t>
        </is>
      </c>
      <c r="E11" s="59" t="inlineStr">
        <is>
          <t>週次audit</t>
        </is>
      </c>
      <c r="F11" s="59" t="inlineStr">
        <is>
          <t>P3</t>
        </is>
      </c>
    </row>
    <row r="12">
      <c r="A12" s="59" t="inlineStr">
        <is>
          <t>引用の検証</t>
        </is>
      </c>
      <c r="B12" s="59" t="inlineStr">
        <is>
          <t>ソース内検索</t>
        </is>
      </c>
      <c r="C12" s="59" t="inlineStr">
        <is>
          <t>candidate_docsから限定</t>
        </is>
      </c>
      <c r="D12" s="59" t="inlineStr">
        <is>
          <t>-</t>
        </is>
      </c>
      <c r="E12" s="59" t="inlineStr">
        <is>
          <t>-</t>
        </is>
      </c>
      <c r="F12" s="59" t="inlineStr">
        <is>
          <t>P3</t>
        </is>
      </c>
    </row>
    <row r="13">
      <c r="A13" s="59" t="inlineStr">
        <is>
          <t>重複統合</t>
        </is>
      </c>
      <c r="B13" s="59" t="inlineStr">
        <is>
          <t>近似結果統合</t>
        </is>
      </c>
      <c r="C13" s="59" t="inlineStr">
        <is>
          <t>minhash/simhash</t>
        </is>
      </c>
      <c r="D13" s="59" t="inlineStr">
        <is>
          <t>-</t>
        </is>
      </c>
      <c r="E13" s="59" t="inlineStr">
        <is>
          <t>-</t>
        </is>
      </c>
      <c r="F13" s="59" t="inlineStr">
        <is>
          <t>P3</t>
        </is>
      </c>
    </row>
    <row r="14">
      <c r="A14" s="59" t="inlineStr">
        <is>
          <t>最近見たもの</t>
        </is>
      </c>
      <c r="B14" s="59" t="inlineStr">
        <is>
          <t>UX</t>
        </is>
      </c>
      <c r="C14" s="59" t="inlineStr">
        <is>
          <t>recent_views</t>
        </is>
      </c>
      <c r="D14" s="59" t="inlineStr">
        <is>
          <t>直近50</t>
        </is>
      </c>
      <c r="E14" s="59" t="inlineStr">
        <is>
          <t>-</t>
        </is>
      </c>
      <c r="F14" s="59" t="inlineStr">
        <is>
          <t>P1</t>
        </is>
      </c>
    </row>
    <row r="15">
      <c r="A15" s="59" t="inlineStr">
        <is>
          <t>プリセット</t>
        </is>
      </c>
      <c r="B15" s="59" t="inlineStr">
        <is>
          <t>ロール別</t>
        </is>
      </c>
      <c r="C15" s="59" t="inlineStr">
        <is>
          <t>CS=クレーム,営業=ニーズ,新人=反論</t>
        </is>
      </c>
      <c r="D15" s="59" t="inlineStr">
        <is>
          <t>-</t>
        </is>
      </c>
      <c r="E15" s="59" t="inlineStr">
        <is>
          <t>-</t>
        </is>
      </c>
      <c r="F15" s="59" t="inlineStr">
        <is>
          <t>P2</t>
        </is>
      </c>
    </row>
    <row r="16">
      <c r="A16" s="59" t="inlineStr">
        <is>
          <t>検索ログ</t>
        </is>
      </c>
      <c r="B16" s="59" t="inlineStr">
        <is>
          <t>学習用</t>
        </is>
      </c>
      <c r="C16" s="59" t="inlineStr">
        <is>
          <t>search_logs</t>
        </is>
      </c>
      <c r="D16" s="59" t="inlineStr">
        <is>
          <t>個人特定除外</t>
        </is>
      </c>
      <c r="E16" s="59" t="inlineStr">
        <is>
          <t>-</t>
        </is>
      </c>
      <c r="F16" s="59" t="inlineStr">
        <is>
          <t>P2</t>
        </is>
      </c>
    </row>
    <row r="17">
      <c r="A17" s="59" t="inlineStr">
        <is>
          <t>フィードバックループ</t>
        </is>
      </c>
      <c r="B17" s="59" t="inlineStr">
        <is>
          <t>役立った/立たなかった</t>
        </is>
      </c>
      <c r="C17" s="59" t="inlineStr">
        <is>
          <t>reward signal</t>
        </is>
      </c>
      <c r="D17" s="59" t="inlineStr">
        <is>
          <t>ranker再学習</t>
        </is>
      </c>
      <c r="E17" s="59" t="inlineStr">
        <is>
          <t>月次</t>
        </is>
      </c>
      <c r="F17" s="59" t="inlineStr">
        <is>
          <t>P3</t>
        </is>
      </c>
    </row>
    <row r="18">
      <c r="A18" s="59" t="inlineStr">
        <is>
          <t>クエリ補完</t>
        </is>
      </c>
      <c r="B18" s="59" t="inlineStr">
        <is>
          <t>オートコンプリート</t>
        </is>
      </c>
      <c r="C18" s="59" t="inlineStr">
        <is>
          <t>trie+履歴</t>
        </is>
      </c>
      <c r="D18" s="59" t="inlineStr">
        <is>
          <t>-</t>
        </is>
      </c>
      <c r="E18" s="59" t="inlineStr">
        <is>
          <t>-</t>
        </is>
      </c>
      <c r="F18" s="59" t="inlineStr">
        <is>
          <t>P2</t>
        </is>
      </c>
    </row>
    <row r="19">
      <c r="A19" s="59" t="inlineStr">
        <is>
          <t>フィルタファセット</t>
        </is>
      </c>
      <c r="B19" s="59" t="inlineStr">
        <is>
          <t>date/role/customer/sensitivity</t>
        </is>
      </c>
      <c r="C19" s="59" t="inlineStr">
        <is>
          <t>-</t>
        </is>
      </c>
      <c r="D19" s="59" t="inlineStr">
        <is>
          <t>-</t>
        </is>
      </c>
      <c r="E19" s="59" t="inlineStr">
        <is>
          <t>-</t>
        </is>
      </c>
      <c r="F19" s="59" t="inlineStr">
        <is>
          <t>P1</t>
        </is>
      </c>
    </row>
    <row r="20">
      <c r="A20" s="59" t="inlineStr">
        <is>
          <t>クロスtenant漏洩防止</t>
        </is>
      </c>
      <c r="B20" s="59" t="inlineStr">
        <is>
          <t>RLS+vector RLS</t>
        </is>
      </c>
      <c r="C20" s="59" t="inlineStr">
        <is>
          <t>-</t>
        </is>
      </c>
      <c r="D20" s="59" t="inlineStr">
        <is>
          <t>-</t>
        </is>
      </c>
      <c r="E20" s="59" t="inlineStr">
        <is>
          <t>-</t>
        </is>
      </c>
      <c r="F20" s="59" t="inlineStr">
        <is>
          <t>P1</t>
        </is>
      </c>
    </row>
    <row r="21">
      <c r="A21" s="59" t="inlineStr">
        <is>
          <t>sensitiveの扱い</t>
        </is>
      </c>
      <c r="B21" s="59" t="inlineStr">
        <is>
          <t>検索除外OR本人のみ</t>
        </is>
      </c>
      <c r="C21" s="59" t="inlineStr">
        <is>
          <t>sensitivity tier</t>
        </is>
      </c>
      <c r="D21" s="59" t="inlineStr">
        <is>
          <t>-</t>
        </is>
      </c>
      <c r="E21" s="59" t="inlineStr">
        <is>
          <t>-</t>
        </is>
      </c>
      <c r="F21" s="59" t="inlineStr">
        <is>
          <t>P2</t>
        </is>
      </c>
    </row>
    <row r="22">
      <c r="A22" s="59" t="inlineStr">
        <is>
          <t>multilingual</t>
        </is>
      </c>
      <c r="B22" s="59" t="inlineStr">
        <is>
          <t>ja+en</t>
        </is>
      </c>
      <c r="C22" s="59" t="inlineStr">
        <is>
          <t>tokenizer切替</t>
        </is>
      </c>
      <c r="D22" s="59" t="inlineStr">
        <is>
          <t>-</t>
        </is>
      </c>
      <c r="E22" s="59" t="inlineStr">
        <is>
          <t>-</t>
        </is>
      </c>
      <c r="F22" s="59" t="inlineStr">
        <is>
          <t>P3</t>
        </is>
      </c>
    </row>
    <row r="23">
      <c r="A23" s="59" t="inlineStr">
        <is>
          <t>性能</t>
        </is>
      </c>
      <c r="B23" s="59" t="inlineStr">
        <is>
          <t>p95&lt;400ms</t>
        </is>
      </c>
      <c r="C23" s="59" t="inlineStr">
        <is>
          <t>prefilter→rerank</t>
        </is>
      </c>
      <c r="D23" s="59" t="inlineStr">
        <is>
          <t>-</t>
        </is>
      </c>
      <c r="E23" s="59" t="inlineStr">
        <is>
          <t>Vitals</t>
        </is>
      </c>
      <c r="F23" s="59" t="inlineStr">
        <is>
          <t>P1</t>
        </is>
      </c>
    </row>
    <row r="24">
      <c r="A24" s="59" t="inlineStr">
        <is>
          <t>コスト管理</t>
        </is>
      </c>
      <c r="B24" s="59" t="inlineStr">
        <is>
          <t>embedding費用</t>
        </is>
      </c>
      <c r="C24" s="59" t="inlineStr">
        <is>
          <t>バッチ生成+差分</t>
        </is>
      </c>
      <c r="D24" s="59" t="inlineStr">
        <is>
          <t>-</t>
        </is>
      </c>
      <c r="E24" s="59" t="inlineStr">
        <is>
          <t>月次</t>
        </is>
      </c>
      <c r="F24" s="59" t="inlineStr">
        <is>
          <t>P2</t>
        </is>
      </c>
    </row>
    <row r="26">
      <c r="A26" s="41" t="inlineStr">
        <is>
          <t>■ Round1指摘反映追加(v2.1)</t>
        </is>
      </c>
      <c r="B26" s="41" t="n"/>
      <c r="C26" s="41" t="n"/>
      <c r="D26" s="41" t="n"/>
      <c r="E26" s="41" t="n"/>
      <c r="F26" s="41" t="n"/>
    </row>
    <row r="27">
      <c r="A27" s="41" t="inlineStr">
        <is>
          <t>項目</t>
        </is>
      </c>
      <c r="B27" s="41" t="inlineStr">
        <is>
          <t>要件</t>
        </is>
      </c>
      <c r="C27" s="41" t="inlineStr">
        <is>
          <t>実装</t>
        </is>
      </c>
      <c r="D27" s="41" t="inlineStr">
        <is>
          <t>しきい値</t>
        </is>
      </c>
      <c r="E27" s="41" t="inlineStr">
        <is>
          <t>計測</t>
        </is>
      </c>
      <c r="F27" s="41" t="inlineStr">
        <is>
          <t>Phase</t>
        </is>
      </c>
    </row>
    <row r="28">
      <c r="A28" s="41" t="inlineStr">
        <is>
          <t>BM25実装(T-4)</t>
        </is>
      </c>
      <c r="B28" s="41" t="inlineStr">
        <is>
          <t>本物のBM25</t>
        </is>
      </c>
      <c r="C28" s="41" t="inlineStr">
        <is>
          <t>paradedb(pg_search)</t>
        </is>
      </c>
      <c r="D28" s="41" t="inlineStr">
        <is>
          <t>-</t>
        </is>
      </c>
      <c r="E28" s="41" t="inlineStr">
        <is>
          <t>CI bench</t>
        </is>
      </c>
      <c r="F28" s="41" t="inlineStr">
        <is>
          <t>P1</t>
        </is>
      </c>
    </row>
    <row r="29">
      <c r="A29" s="41" t="inlineStr">
        <is>
          <t>HNSW チューニング(T-4)</t>
        </is>
      </c>
      <c r="B29" s="41" t="inlineStr">
        <is>
          <t>ef_search/ef_construction</t>
        </is>
      </c>
      <c r="C29" s="41" t="inlineStr">
        <is>
          <t>ef_search=64,ef_construction=128</t>
        </is>
      </c>
      <c r="D29" s="41" t="inlineStr">
        <is>
          <t>-</t>
        </is>
      </c>
      <c r="E29" s="41" t="inlineStr">
        <is>
          <t>p95 latency</t>
        </is>
      </c>
      <c r="F29" s="41" t="inlineStr">
        <is>
          <t>P1</t>
        </is>
      </c>
    </row>
    <row r="30">
      <c r="A30" s="41" t="inlineStr">
        <is>
          <t>partition(T-4)</t>
        </is>
      </c>
      <c r="B30" s="41" t="inlineStr">
        <is>
          <t>org_id+date</t>
        </is>
      </c>
      <c r="C30" s="41" t="inlineStr">
        <is>
          <t>partitioned table</t>
        </is>
      </c>
      <c r="D30" s="41" t="inlineStr">
        <is>
          <t>-</t>
        </is>
      </c>
      <c r="E30" s="41" t="inlineStr">
        <is>
          <t>-</t>
        </is>
      </c>
      <c r="F30" s="41" t="inlineStr">
        <is>
          <t>P1</t>
        </is>
      </c>
    </row>
    <row r="31">
      <c r="A31" s="41" t="inlineStr">
        <is>
          <t>embedding metadata(T-2)</t>
        </is>
      </c>
      <c r="B31" s="41" t="inlineStr">
        <is>
          <t>sensitivity/org_id複製</t>
        </is>
      </c>
      <c r="C31" s="41" t="inlineStr">
        <is>
          <t>prefilter</t>
        </is>
      </c>
      <c r="D31" s="41" t="inlineStr">
        <is>
          <t>-</t>
        </is>
      </c>
      <c r="E31" s="41" t="inlineStr">
        <is>
          <t>-</t>
        </is>
      </c>
      <c r="F31" s="41" t="inlineStr">
        <is>
          <t>P1</t>
        </is>
      </c>
    </row>
    <row r="32">
      <c r="A32" s="41" t="inlineStr">
        <is>
          <t>context_hint(G-10)</t>
        </is>
      </c>
      <c r="B32" s="41" t="inlineStr">
        <is>
          <t>アクティブ顧客自動絞</t>
        </is>
      </c>
      <c r="C32" s="41" t="inlineStr">
        <is>
          <t>API param</t>
        </is>
      </c>
      <c r="D32" s="41" t="inlineStr">
        <is>
          <t>-</t>
        </is>
      </c>
      <c r="E32" s="41" t="inlineStr">
        <is>
          <t>-</t>
        </is>
      </c>
      <c r="F32" s="41" t="inlineStr">
        <is>
          <t>P2</t>
        </is>
      </c>
    </row>
    <row r="33">
      <c r="A33" s="41" t="inlineStr">
        <is>
          <t>ゼロ件補助(G-20)</t>
        </is>
      </c>
      <c r="B33" s="41" t="inlineStr">
        <is>
          <t>did_you_mean+broaden</t>
        </is>
      </c>
      <c r="C33" s="41" t="inlineStr">
        <is>
          <t>AP-94 0件分岐</t>
        </is>
      </c>
      <c r="D33" s="41" t="inlineStr">
        <is>
          <t>-</t>
        </is>
      </c>
      <c r="E33" s="41" t="inlineStr">
        <is>
          <t>-</t>
        </is>
      </c>
      <c r="F33" s="41" t="inlineStr">
        <is>
          <t>P2</t>
        </is>
      </c>
    </row>
    <row r="34">
      <c r="A34" s="41" t="inlineStr">
        <is>
          <t>ranking ゴールデン(M-15)</t>
        </is>
      </c>
      <c r="B34" s="41" t="inlineStr">
        <is>
          <t>golden set&gt;=200,四半期更新</t>
        </is>
      </c>
      <c r="C34" s="41" t="inlineStr">
        <is>
          <t>-</t>
        </is>
      </c>
      <c r="D34" s="41" t="inlineStr">
        <is>
          <t>NDCG@10&gt;=0.7,95%CI</t>
        </is>
      </c>
      <c r="E34" s="41" t="inlineStr">
        <is>
          <t>-</t>
        </is>
      </c>
      <c r="F34" s="41" t="inlineStr">
        <is>
          <t>P3</t>
        </is>
      </c>
    </row>
    <row r="35">
      <c r="A35" s="41" t="inlineStr">
        <is>
          <t>ハルシネーションKPI(M-15)</t>
        </is>
      </c>
      <c r="B35" s="41" t="inlineStr">
        <is>
          <t>引用必須+0-3%</t>
        </is>
      </c>
      <c r="C35" s="41" t="inlineStr">
        <is>
          <t>週次audit</t>
        </is>
      </c>
      <c r="D35" s="41" t="inlineStr">
        <is>
          <t>逸脱でSlack</t>
        </is>
      </c>
      <c r="E35" s="41" t="inlineStr">
        <is>
          <t>-</t>
        </is>
      </c>
      <c r="F35" s="41" t="inlineStr">
        <is>
          <t>P3</t>
        </is>
      </c>
    </row>
    <row r="36">
      <c r="A36" s="41" t="inlineStr">
        <is>
          <t>RAG cost cap(M-9)</t>
        </is>
      </c>
      <c r="B36" s="41" t="inlineStr">
        <is>
          <t>$0.10/conversation</t>
        </is>
      </c>
      <c r="C36" s="41" t="inlineStr">
        <is>
          <t>アプリ層</t>
        </is>
      </c>
      <c r="D36" s="41" t="inlineStr">
        <is>
          <t>-</t>
        </is>
      </c>
      <c r="E36" s="41" t="inlineStr">
        <is>
          <t>-</t>
        </is>
      </c>
      <c r="F36" s="41" t="inlineStr">
        <is>
          <t>P2</t>
        </is>
      </c>
    </row>
    <row r="37">
      <c r="A37" s="41" t="inlineStr">
        <is>
          <t>context tokens cap(M-9)</t>
        </is>
      </c>
      <c r="B37" s="41" t="inlineStr">
        <is>
          <t>1k×上位8件</t>
        </is>
      </c>
      <c r="C37" s="41" t="inlineStr">
        <is>
          <t>retrieval制限</t>
        </is>
      </c>
      <c r="D37" s="41" t="inlineStr">
        <is>
          <t>-</t>
        </is>
      </c>
      <c r="E37" s="41" t="inlineStr">
        <is>
          <t>-</t>
        </is>
      </c>
      <c r="F37" s="41" t="inlineStr">
        <is>
          <t>P2</t>
        </is>
      </c>
    </row>
    <row r="38">
      <c r="A38" s="41" t="inlineStr">
        <is>
          <t>prompt cache(M-9)</t>
        </is>
      </c>
      <c r="B38" s="41" t="inlineStr">
        <is>
          <t>Anthropic prompt cache</t>
        </is>
      </c>
      <c r="C38" s="41" t="inlineStr">
        <is>
          <t>systemプロンプト固定部分</t>
        </is>
      </c>
      <c r="D38" s="41" t="inlineStr">
        <is>
          <t>-</t>
        </is>
      </c>
      <c r="E38" s="41" t="inlineStr">
        <is>
          <t>コスト削減</t>
        </is>
      </c>
      <c r="F38" s="41" t="inlineStr">
        <is>
          <t>P3</t>
        </is>
      </c>
    </row>
    <row r="40">
      <c r="A40" s="41" t="inlineStr">
        <is>
          <t>■ Round2指摘反映追加(v2.2)</t>
        </is>
      </c>
      <c r="B40" s="41" t="n"/>
      <c r="C40" s="41" t="n"/>
      <c r="D40" s="41" t="n"/>
      <c r="E40" s="41" t="n"/>
      <c r="F40" s="41" t="n"/>
    </row>
    <row r="41">
      <c r="A41" s="41" t="inlineStr">
        <is>
          <t>項目</t>
        </is>
      </c>
      <c r="B41" s="41" t="inlineStr">
        <is>
          <t>要件</t>
        </is>
      </c>
      <c r="C41" s="41" t="inlineStr">
        <is>
          <t>実装</t>
        </is>
      </c>
      <c r="D41" s="41" t="inlineStr">
        <is>
          <t>しきい値</t>
        </is>
      </c>
      <c r="E41" s="41" t="inlineStr">
        <is>
          <t>計測</t>
        </is>
      </c>
      <c r="F41" s="41" t="inlineStr">
        <is>
          <t>Phase</t>
        </is>
      </c>
    </row>
    <row r="42">
      <c r="A42" s="41" t="inlineStr">
        <is>
          <t>HNSW ベンチ(N-2)</t>
        </is>
      </c>
      <c r="B42" s="41" t="inlineStr">
        <is>
          <t>P1ローンチ前必須</t>
        </is>
      </c>
      <c r="C42" s="41" t="inlineStr">
        <is>
          <t>ef_search=64,ef_construction=128 を実測ベンチで再調整</t>
        </is>
      </c>
      <c r="D42" s="41" t="inlineStr">
        <is>
          <t>Recall@10&gt;=0.95, p95&lt;400ms</t>
        </is>
      </c>
      <c r="E42" s="41" t="inlineStr">
        <is>
          <t>ベンチ結果を docs/ に保存</t>
        </is>
      </c>
      <c r="F42" s="41" t="inlineStr">
        <is>
          <t>P1</t>
        </is>
      </c>
    </row>
    <row r="43">
      <c r="A43" s="41" t="inlineStr">
        <is>
          <t>HNSW チューニング履歴</t>
        </is>
      </c>
      <c r="B43" s="41" t="inlineStr">
        <is>
          <t>変更ログ</t>
        </is>
      </c>
      <c r="C43" s="41" t="inlineStr">
        <is>
          <t>-</t>
        </is>
      </c>
      <c r="D43" s="41" t="inlineStr">
        <is>
          <t>-</t>
        </is>
      </c>
      <c r="E43" s="41" t="inlineStr">
        <is>
          <t>ADRに記録</t>
        </is>
      </c>
      <c r="F43" s="41" t="inlineStr">
        <is>
          <t>P1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8" customWidth="1" style="28" min="2" max="2"/>
    <col width="28" customWidth="1" style="28" min="3" max="3"/>
    <col width="28" customWidth="1" style="28" min="4" max="4"/>
    <col width="6" customWidth="1" style="28" min="5" max="5"/>
  </cols>
  <sheetData>
    <row r="1">
      <c r="A1" s="56" t="inlineStr">
        <is>
          <t>オンボーディング・初期運用</t>
        </is>
      </c>
    </row>
    <row r="2">
      <c r="A2" s="57" t="inlineStr">
        <is>
          <t>初日体験/移行/学習リスト</t>
        </is>
      </c>
    </row>
    <row r="4">
      <c r="A4" s="58" t="inlineStr">
        <is>
          <t>項目</t>
        </is>
      </c>
      <c r="B4" s="58" t="inlineStr">
        <is>
          <t>内容</t>
        </is>
      </c>
      <c r="C4" s="58" t="inlineStr">
        <is>
          <t>目的</t>
        </is>
      </c>
      <c r="D4" s="58" t="inlineStr">
        <is>
          <t>完了条件</t>
        </is>
      </c>
      <c r="E4" s="58" t="inlineStr">
        <is>
          <t>Phase</t>
        </is>
      </c>
    </row>
    <row r="5">
      <c r="A5" s="59" t="inlineStr">
        <is>
          <t>Step1: ようこそ</t>
        </is>
      </c>
      <c r="B5" s="59" t="inlineStr">
        <is>
          <t>初回ログイン+ロール選択</t>
        </is>
      </c>
      <c r="C5" s="59" t="inlineStr">
        <is>
          <t>個別最適</t>
        </is>
      </c>
      <c r="D5" s="59" t="inlineStr">
        <is>
          <t>ロール保存</t>
        </is>
      </c>
      <c r="E5" s="59" t="inlineStr">
        <is>
          <t>P1</t>
        </is>
      </c>
    </row>
    <row r="6">
      <c r="A6" s="59" t="inlineStr">
        <is>
          <t>Step2: OAuth</t>
        </is>
      </c>
      <c r="B6" s="59" t="inlineStr">
        <is>
          <t>Google/Zoom連携</t>
        </is>
      </c>
      <c r="C6" s="59" t="inlineStr">
        <is>
          <t>データ取得</t>
        </is>
      </c>
      <c r="D6" s="59" t="inlineStr">
        <is>
          <t>スコープ取得</t>
        </is>
      </c>
      <c r="E6" s="59" t="inlineStr">
        <is>
          <t>P1</t>
        </is>
      </c>
    </row>
    <row r="7">
      <c r="A7" s="59" t="inlineStr">
        <is>
          <t>Step3: タイムゾーン/業務時間</t>
        </is>
      </c>
      <c r="B7" s="59" t="inlineStr">
        <is>
          <t>work_hours設定</t>
        </is>
      </c>
      <c r="C7" s="59" t="inlineStr">
        <is>
          <t>アポ取り精度</t>
        </is>
      </c>
      <c r="D7" s="59" t="inlineStr">
        <is>
          <t>保存</t>
        </is>
      </c>
      <c r="E7" s="59" t="inlineStr">
        <is>
          <t>P1</t>
        </is>
      </c>
    </row>
    <row r="8">
      <c r="A8" s="59" t="inlineStr">
        <is>
          <t>Step4: サンプルデータ</t>
        </is>
      </c>
      <c r="B8" s="59" t="inlineStr">
        <is>
          <t>モックcontact/meeting/recording</t>
        </is>
      </c>
      <c r="C8" s="59" t="inlineStr">
        <is>
          <t>空状態を回避</t>
        </is>
      </c>
      <c r="D8" s="59" t="inlineStr">
        <is>
          <t>Skip可</t>
        </is>
      </c>
      <c r="E8" s="59" t="inlineStr">
        <is>
          <t>P1</t>
        </is>
      </c>
    </row>
    <row r="9">
      <c r="A9" s="59" t="inlineStr">
        <is>
          <t>Step5: ガイドツアー</t>
        </is>
      </c>
      <c r="B9" s="59" t="inlineStr">
        <is>
          <t>名刺撮影/検索/ロープレ7ステップ</t>
        </is>
      </c>
      <c r="C9" s="59" t="inlineStr">
        <is>
          <t>操作習得</t>
        </is>
      </c>
      <c r="D9" s="59" t="inlineStr">
        <is>
          <t>完了 or Skip</t>
        </is>
      </c>
      <c r="E9" s="59" t="inlineStr">
        <is>
          <t>P1</t>
        </is>
      </c>
    </row>
    <row r="10">
      <c r="A10" s="59" t="inlineStr">
        <is>
          <t>Step6: 通知設定</t>
        </is>
      </c>
      <c r="B10" s="59" t="inlineStr">
        <is>
          <t>Push/Email/Slack</t>
        </is>
      </c>
      <c r="C10" s="59" t="inlineStr">
        <is>
          <t>抜け漏れ防止</t>
        </is>
      </c>
      <c r="D10" s="59" t="inlineStr">
        <is>
          <t>保存</t>
        </is>
      </c>
      <c r="E10" s="59" t="inlineStr">
        <is>
          <t>P1</t>
        </is>
      </c>
    </row>
    <row r="11">
      <c r="A11" s="59" t="inlineStr">
        <is>
          <t>Step7: 移行(任意)</t>
        </is>
      </c>
      <c r="B11" s="59" t="inlineStr">
        <is>
          <t>CSV/Sansan/Eight名刺+Zoom過去録画</t>
        </is>
      </c>
      <c r="C11" s="59" t="inlineStr">
        <is>
          <t>蓄積活用</t>
        </is>
      </c>
      <c r="D11" s="59" t="inlineStr">
        <is>
          <t>Skip可</t>
        </is>
      </c>
      <c r="E11" s="59" t="inlineStr">
        <is>
          <t>P2</t>
        </is>
      </c>
    </row>
    <row r="12">
      <c r="A12" s="59" t="inlineStr">
        <is>
          <t>新人パス</t>
        </is>
      </c>
      <c r="B12" s="59" t="inlineStr">
        <is>
          <t>推奨ナレッジ7本+ロープレ3本</t>
        </is>
      </c>
      <c r="C12" s="59" t="inlineStr">
        <is>
          <t>早期戦力化</t>
        </is>
      </c>
      <c r="D12" s="59" t="inlineStr">
        <is>
          <t>完了率60%</t>
        </is>
      </c>
      <c r="E12" s="59" t="inlineStr">
        <is>
          <t>P3</t>
        </is>
      </c>
    </row>
    <row r="13">
      <c r="A13" s="59" t="inlineStr">
        <is>
          <t>マネージャーパス</t>
        </is>
      </c>
      <c r="B13" s="59" t="inlineStr">
        <is>
          <t>ダッシュボード使い方+承認フロー</t>
        </is>
      </c>
      <c r="C13" s="59" t="inlineStr">
        <is>
          <t>運用統制</t>
        </is>
      </c>
      <c r="D13" s="59" t="inlineStr">
        <is>
          <t>完了率80%</t>
        </is>
      </c>
      <c r="E13" s="59" t="inlineStr">
        <is>
          <t>P3</t>
        </is>
      </c>
    </row>
    <row r="14">
      <c r="A14" s="59" t="inlineStr">
        <is>
          <t>管理者パス</t>
        </is>
      </c>
      <c r="B14" s="59" t="inlineStr">
        <is>
          <t>セキュリティ/Backup/feature flags</t>
        </is>
      </c>
      <c r="C14" s="59" t="inlineStr">
        <is>
          <t>運用安全</t>
        </is>
      </c>
      <c r="D14" s="59" t="inlineStr">
        <is>
          <t>完了率100%</t>
        </is>
      </c>
      <c r="E14" s="59" t="inlineStr">
        <is>
          <t>P2</t>
        </is>
      </c>
    </row>
    <row r="15">
      <c r="A15" s="59" t="inlineStr">
        <is>
          <t>再オンボーディング</t>
        </is>
      </c>
      <c r="B15" s="59" t="inlineStr">
        <is>
          <t>半年に1度のリマインド</t>
        </is>
      </c>
      <c r="C15" s="59" t="inlineStr">
        <is>
          <t>新機能学習</t>
        </is>
      </c>
      <c r="D15" s="59" t="inlineStr">
        <is>
          <t>-</t>
        </is>
      </c>
      <c r="E15" s="59" t="inlineStr">
        <is>
          <t>P3</t>
        </is>
      </c>
    </row>
    <row r="16">
      <c r="A16" s="59" t="inlineStr">
        <is>
          <t>既存組織移行</t>
        </is>
      </c>
      <c r="B16" s="59" t="inlineStr">
        <is>
          <t>データインポート→検索可+検索精度確認</t>
        </is>
      </c>
      <c r="C16" s="59" t="inlineStr">
        <is>
          <t>乗換成功</t>
        </is>
      </c>
      <c r="D16" s="59" t="inlineStr">
        <is>
          <t>インポート完了+検索ヒット率&gt;=70%</t>
        </is>
      </c>
      <c r="E16" s="59" t="inlineStr">
        <is>
          <t>P2</t>
        </is>
      </c>
    </row>
    <row r="18">
      <c r="A18" s="41" t="inlineStr">
        <is>
          <t>■ Round1指摘反映追加(v2.1)</t>
        </is>
      </c>
      <c r="B18" s="41" t="n"/>
      <c r="C18" s="41" t="n"/>
      <c r="D18" s="41" t="n"/>
      <c r="E18" s="41" t="n"/>
    </row>
    <row r="19">
      <c r="A19" s="41" t="inlineStr">
        <is>
          <t>項目</t>
        </is>
      </c>
      <c r="B19" s="41" t="inlineStr">
        <is>
          <t>内容</t>
        </is>
      </c>
      <c r="C19" s="41" t="inlineStr">
        <is>
          <t>目的</t>
        </is>
      </c>
      <c r="D19" s="41" t="inlineStr">
        <is>
          <t>完了条件</t>
        </is>
      </c>
      <c r="E19" s="41" t="inlineStr">
        <is>
          <t>Phase</t>
        </is>
      </c>
    </row>
    <row r="20">
      <c r="A20" s="41" t="inlineStr">
        <is>
          <t>初週habit-loop(G-13)</t>
        </is>
      </c>
      <c r="B20" s="41" t="inlineStr">
        <is>
          <t>初週KPI(連絡先5件/録画1件/検索3回)</t>
        </is>
      </c>
      <c r="C20" s="41" t="inlineStr">
        <is>
          <t>定着</t>
        </is>
      </c>
      <c r="D20" s="41" t="inlineStr">
        <is>
          <t>push+CSM/上司alert</t>
        </is>
      </c>
      <c r="E20" s="41" t="inlineStr">
        <is>
          <t>P3</t>
        </is>
      </c>
    </row>
    <row r="21">
      <c r="A21" s="41" t="inlineStr">
        <is>
          <t>メンターアサイン(G-23)</t>
        </is>
      </c>
      <c r="B21" s="41" t="inlineStr">
        <is>
          <t>新人にメンター(先輩)+1on1連動</t>
        </is>
      </c>
      <c r="C21" s="41" t="inlineStr">
        <is>
          <t>早期戦力化</t>
        </is>
      </c>
      <c r="D21" s="41" t="inlineStr">
        <is>
          <t>onboarding_recommendations.mentor_user_id</t>
        </is>
      </c>
      <c r="E21" s="41" t="inlineStr">
        <is>
          <t>P3</t>
        </is>
      </c>
    </row>
    <row r="22">
      <c r="A22" s="41" t="inlineStr">
        <is>
          <t>利用規約同意(M-C5)</t>
        </is>
      </c>
      <c r="B22" s="41" t="inlineStr">
        <is>
          <t>版数+撤回scope</t>
        </is>
      </c>
      <c r="C22" s="41" t="inlineStr">
        <is>
          <t>コンプラ</t>
        </is>
      </c>
      <c r="D22" s="41" t="inlineStr">
        <is>
          <t>consent_logs</t>
        </is>
      </c>
      <c r="E22" s="41" t="inlineStr">
        <is>
          <t>P1</t>
        </is>
      </c>
    </row>
    <row r="24">
      <c r="A24" s="41" t="inlineStr">
        <is>
          <t>■ v2.3 追加(実演シミュ反映)</t>
        </is>
      </c>
      <c r="B24" s="41" t="n"/>
      <c r="C24" s="41" t="n"/>
      <c r="D24" s="41" t="n"/>
      <c r="E24" s="41" t="n"/>
    </row>
    <row r="25">
      <c r="A25" s="41" t="inlineStr">
        <is>
          <t>項目</t>
        </is>
      </c>
      <c r="B25" s="41" t="inlineStr">
        <is>
          <t>内容</t>
        </is>
      </c>
      <c r="C25" s="41" t="inlineStr">
        <is>
          <t>目的</t>
        </is>
      </c>
      <c r="D25" s="41" t="inlineStr">
        <is>
          <t>完了条件</t>
        </is>
      </c>
      <c r="E25" s="41" t="inlineStr">
        <is>
          <t>Phase</t>
        </is>
      </c>
    </row>
    <row r="26">
      <c r="A26" s="41" t="inlineStr">
        <is>
          <t>新人パス『見るだけ』Step5(F-S12-3)</t>
        </is>
      </c>
      <c r="B26" s="41" t="inlineStr">
        <is>
          <t>録音/ロープレを見学のみ</t>
        </is>
      </c>
      <c r="C26" s="41" t="inlineStr">
        <is>
          <t>プレッシャー軽減</t>
        </is>
      </c>
      <c r="D26" s="41" t="inlineStr">
        <is>
          <t>Skipなしで完了可能</t>
        </is>
      </c>
      <c r="E26" s="41" t="inlineStr">
        <is>
          <t>P3</t>
        </is>
      </c>
    </row>
    <row r="27">
      <c r="A27" s="41" t="inlineStr">
        <is>
          <t>sample_data_seeds 音声仕様(F-S12-3)</t>
        </is>
      </c>
      <c r="B27" s="41" t="inlineStr">
        <is>
          <t>合成音声+dummy_company付与</t>
        </is>
      </c>
      <c r="C27" s="41" t="inlineStr">
        <is>
          <t>本人音声不要</t>
        </is>
      </c>
      <c r="D27" s="41" t="inlineStr">
        <is>
          <t>sample_data_seedsに meta:{voice:'synthetic',dummy:true}</t>
        </is>
      </c>
      <c r="E27" s="41" t="inlineStr">
        <is>
          <t>P1</t>
        </is>
      </c>
    </row>
    <row r="28">
      <c r="A28" s="41" t="inlineStr">
        <is>
          <t>consent_blanket Step6(F-S4-3)</t>
        </is>
      </c>
      <c r="B28" s="41" t="inlineStr">
        <is>
          <t>社内会議の包括同意ON/OFF</t>
        </is>
      </c>
      <c r="C28" s="41" t="inlineStr">
        <is>
          <t>社内ユーザの会議体験軽減</t>
        </is>
      </c>
      <c r="D28" s="41" t="inlineStr">
        <is>
          <t>保存+撤回可能性ガイド</t>
        </is>
      </c>
      <c r="E28" s="41" t="inlineStr">
        <is>
          <t>P2</t>
        </is>
      </c>
    </row>
    <row r="29">
      <c r="A29" s="41" t="inlineStr">
        <is>
          <t>observation_consent_level Step7(F-S8-2)</t>
        </is>
      </c>
      <c r="B29" s="41" t="inlineStr">
        <is>
          <t>常時/事前通知/個別承認</t>
        </is>
      </c>
      <c r="C29" s="41" t="inlineStr">
        <is>
          <t>心理的安全性</t>
        </is>
      </c>
      <c r="D29" s="41" t="inlineStr">
        <is>
          <t>保存</t>
        </is>
      </c>
      <c r="E29" s="41" t="inlineStr">
        <is>
          <t>P3</t>
        </is>
      </c>
    </row>
    <row r="30">
      <c r="A30" s="41" t="inlineStr">
        <is>
          <t>Step6改修 ロール別通知初期(F-S12-4)</t>
        </is>
      </c>
      <c r="B30" s="41" t="inlineStr">
        <is>
          <t>role_default_notification_presetsから自動充填</t>
        </is>
      </c>
      <c r="C30" s="41" t="inlineStr">
        <is>
          <t>新人デフォルトは静か</t>
        </is>
      </c>
      <c r="D30" s="41" t="inlineStr">
        <is>
          <t>保存</t>
        </is>
      </c>
      <c r="E30" s="41" t="inlineStr">
        <is>
          <t>P3</t>
        </is>
      </c>
    </row>
    <row r="31">
      <c r="A31" s="41" t="inlineStr">
        <is>
          <t>O-11前倒し(F-S12-1)</t>
        </is>
      </c>
      <c r="B31" s="41" t="inlineStr">
        <is>
          <t>M-Day 16:00にexport完了→16:30 OAuth revoke</t>
        </is>
      </c>
      <c r="C31" s="41" t="inlineStr">
        <is>
          <t>退職データ可搬性確保</t>
        </is>
      </c>
      <c r="D31" s="41" t="inlineStr">
        <is>
          <t>チェックリスト達成</t>
        </is>
      </c>
      <c r="E31" s="41" t="inlineStr">
        <is>
          <t>P2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0" customWidth="1" style="28" min="2" max="2"/>
    <col width="32" customWidth="1" style="28" min="3" max="3"/>
    <col width="25" customWidth="1" style="28" min="4" max="4"/>
    <col width="6" customWidth="1" style="28" min="5" max="5"/>
  </cols>
  <sheetData>
    <row r="1">
      <c r="A1" s="56" t="inlineStr">
        <is>
          <t>失敗・例外運用</t>
        </is>
      </c>
    </row>
    <row r="2">
      <c r="A2" s="57" t="inlineStr">
        <is>
          <t>Undo/Soft delete/Rollback/権限申請/競合解決</t>
        </is>
      </c>
    </row>
    <row r="4">
      <c r="A4" s="58" t="inlineStr">
        <is>
          <t>分類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UI</t>
        </is>
      </c>
      <c r="E4" s="58" t="inlineStr">
        <is>
          <t>Phase</t>
        </is>
      </c>
    </row>
    <row r="5">
      <c r="A5" s="59" t="inlineStr">
        <is>
          <t>メール送信</t>
        </is>
      </c>
      <c r="B5" s="59" t="inlineStr">
        <is>
          <t>30秒undo</t>
        </is>
      </c>
      <c r="C5" s="59" t="inlineStr">
        <is>
          <t>email_undo_tokens+q_email_undo_finalize</t>
        </is>
      </c>
      <c r="D5" s="59" t="inlineStr">
        <is>
          <t>送信後30秒バナー</t>
        </is>
      </c>
      <c r="E5" s="59" t="inlineStr">
        <is>
          <t>P2</t>
        </is>
      </c>
    </row>
    <row r="6">
      <c r="A6" s="59" t="inlineStr">
        <is>
          <t>メール訂正</t>
        </is>
      </c>
      <c r="B6" s="59" t="inlineStr">
        <is>
          <t>訂正テンプレ</t>
        </is>
      </c>
      <c r="C6" s="59" t="inlineStr">
        <is>
          <t>template_id=correction</t>
        </is>
      </c>
      <c r="D6" s="59" t="inlineStr">
        <is>
          <t>別テンプレ提示</t>
        </is>
      </c>
      <c r="E6" s="59" t="inlineStr">
        <is>
          <t>P2</t>
        </is>
      </c>
    </row>
    <row r="7">
      <c r="A7" s="59" t="inlineStr">
        <is>
          <t>コンタクト誤削除</t>
        </is>
      </c>
      <c r="B7" s="59" t="inlineStr">
        <is>
          <t>30日復旧</t>
        </is>
      </c>
      <c r="C7" s="59" t="inlineStr">
        <is>
          <t>soft delete+/admin/trash</t>
        </is>
      </c>
      <c r="D7" s="59" t="inlineStr">
        <is>
          <t>Restoreボタン</t>
        </is>
      </c>
      <c r="E7" s="59" t="inlineStr">
        <is>
          <t>P2</t>
        </is>
      </c>
    </row>
    <row r="8">
      <c r="A8" s="59" t="inlineStr">
        <is>
          <t>AI抽出全体やり直し</t>
        </is>
      </c>
      <c r="B8" s="59" t="inlineStr">
        <is>
          <t>モデル選択+差分</t>
        </is>
      </c>
      <c r="C8" s="59" t="inlineStr">
        <is>
          <t>AP-70</t>
        </is>
      </c>
      <c r="D8" s="59" t="inlineStr">
        <is>
          <t>Reprocess+Diff View</t>
        </is>
      </c>
      <c r="E8" s="59" t="inlineStr">
        <is>
          <t>P2</t>
        </is>
      </c>
    </row>
    <row r="9">
      <c r="A9" s="59" t="inlineStr">
        <is>
          <t>同期失敗</t>
        </is>
      </c>
      <c r="B9" s="59" t="inlineStr">
        <is>
          <t>可視化</t>
        </is>
      </c>
      <c r="C9" s="59" t="inlineStr">
        <is>
          <t>sync_failure_log+badge</t>
        </is>
      </c>
      <c r="D9" s="59" t="inlineStr">
        <is>
          <t>右上badge+リトライ</t>
        </is>
      </c>
      <c r="E9" s="59" t="inlineStr">
        <is>
          <t>P1</t>
        </is>
      </c>
    </row>
    <row r="10">
      <c r="A10" s="59" t="inlineStr">
        <is>
          <t>権限不足</t>
        </is>
      </c>
      <c r="B10" s="59" t="inlineStr">
        <is>
          <t>申請動線</t>
        </is>
      </c>
      <c r="C10" s="59" t="inlineStr">
        <is>
          <t>permission_requests</t>
        </is>
      </c>
      <c r="D10" s="59" t="inlineStr">
        <is>
          <t>SC-70 申請ボタン</t>
        </is>
      </c>
      <c r="E10" s="59" t="inlineStr">
        <is>
          <t>P2</t>
        </is>
      </c>
    </row>
    <row r="11">
      <c r="A11" s="59" t="inlineStr">
        <is>
          <t>モバイル断線</t>
        </is>
      </c>
      <c r="B11" s="59" t="inlineStr">
        <is>
          <t>autosave</t>
        </is>
      </c>
      <c r="C11" s="59" t="inlineStr">
        <is>
          <t>autosave_drafts(5秒)</t>
        </is>
      </c>
      <c r="D11" s="59" t="inlineStr">
        <is>
          <t>復元バナー</t>
        </is>
      </c>
      <c r="E11" s="59" t="inlineStr">
        <is>
          <t>P1</t>
        </is>
      </c>
    </row>
    <row r="12">
      <c r="A12" s="59" t="inlineStr">
        <is>
          <t>管理者大量削除</t>
        </is>
      </c>
      <c r="B12" s="59" t="inlineStr">
        <is>
          <t>reason+MFA+PITR</t>
        </is>
      </c>
      <c r="C12" s="59" t="inlineStr">
        <is>
          <t>dangerous_action_audits</t>
        </is>
      </c>
      <c r="D12" s="59" t="inlineStr">
        <is>
          <t>確認ダイアログ</t>
        </is>
      </c>
      <c r="E12" s="59" t="inlineStr">
        <is>
          <t>P2</t>
        </is>
      </c>
    </row>
    <row r="13">
      <c r="A13" s="59" t="inlineStr">
        <is>
          <t>2デバイス衝突</t>
        </is>
      </c>
      <c r="B13" s="59" t="inlineStr">
        <is>
          <t>楽観ロック+merge</t>
        </is>
      </c>
      <c r="C13" s="59" t="inlineStr">
        <is>
          <t>optimistic_lock_versions</t>
        </is>
      </c>
      <c r="D13" s="59" t="inlineStr">
        <is>
          <t>Diffマージ</t>
        </is>
      </c>
      <c r="E13" s="59" t="inlineStr">
        <is>
          <t>P2</t>
        </is>
      </c>
    </row>
    <row r="14">
      <c r="A14" s="59" t="inlineStr">
        <is>
          <t>録画失敗</t>
        </is>
      </c>
      <c r="B14" s="59" t="inlineStr">
        <is>
          <t>retry+admin通知</t>
        </is>
      </c>
      <c r="C14" s="59" t="inlineStr">
        <is>
          <t>recordings.failed</t>
        </is>
      </c>
      <c r="D14" s="59" t="inlineStr">
        <is>
          <t>admin Slackアラート</t>
        </is>
      </c>
      <c r="E14" s="59" t="inlineStr">
        <is>
          <t>P1</t>
        </is>
      </c>
    </row>
    <row r="15">
      <c r="A15" s="59" t="inlineStr">
        <is>
          <t>Webhook失敗</t>
        </is>
      </c>
      <c r="B15" s="59" t="inlineStr">
        <is>
          <t>DLQ</t>
        </is>
      </c>
      <c r="C15" s="59" t="inlineStr">
        <is>
          <t>retry exp 5+admin</t>
        </is>
      </c>
      <c r="D15" s="59" t="inlineStr">
        <is>
          <t>ダッシュボード</t>
        </is>
      </c>
      <c r="E15" s="59" t="inlineStr">
        <is>
          <t>P1</t>
        </is>
      </c>
    </row>
    <row r="16">
      <c r="A16" s="59" t="inlineStr">
        <is>
          <t>Long job失敗</t>
        </is>
      </c>
      <c r="B16" s="59" t="inlineStr">
        <is>
          <t>部分復元</t>
        </is>
      </c>
      <c r="C16" s="59" t="inlineStr">
        <is>
          <t>stage毎チェックポイント</t>
        </is>
      </c>
      <c r="D16" s="59" t="inlineStr">
        <is>
          <t>Resumeボタン</t>
        </is>
      </c>
      <c r="E16" s="59" t="inlineStr">
        <is>
          <t>P2</t>
        </is>
      </c>
    </row>
    <row r="17">
      <c r="A17" s="59" t="inlineStr">
        <is>
          <t>署名URL失効</t>
        </is>
      </c>
      <c r="B17" s="59" t="inlineStr">
        <is>
          <t>再発行</t>
        </is>
      </c>
      <c r="C17" s="59" t="inlineStr">
        <is>
          <t>/share/regenerate</t>
        </is>
      </c>
      <c r="D17" s="59" t="inlineStr">
        <is>
          <t>リンク再生成</t>
        </is>
      </c>
      <c r="E17" s="59" t="inlineStr">
        <is>
          <t>P2</t>
        </is>
      </c>
    </row>
    <row r="18">
      <c r="A18" s="59" t="inlineStr">
        <is>
          <t>メール失敗</t>
        </is>
      </c>
      <c r="B18" s="59" t="inlineStr">
        <is>
          <t>Postfixキュー</t>
        </is>
      </c>
      <c r="C18" s="59" t="inlineStr">
        <is>
          <t>Gmail送信失敗→3回retry</t>
        </is>
      </c>
      <c r="D18" s="59" t="inlineStr">
        <is>
          <t>通知</t>
        </is>
      </c>
      <c r="E18" s="59" t="inlineStr">
        <is>
          <t>P2</t>
        </is>
      </c>
    </row>
    <row r="19">
      <c r="A19" s="59" t="inlineStr">
        <is>
          <t>LLM API障害</t>
        </is>
      </c>
      <c r="B19" s="59" t="inlineStr">
        <is>
          <t>fallback model</t>
        </is>
      </c>
      <c r="C19" s="59" t="inlineStr">
        <is>
          <t>Sonnet→Haiku</t>
        </is>
      </c>
      <c r="D19" s="59" t="inlineStr">
        <is>
          <t>通知</t>
        </is>
      </c>
      <c r="E19" s="59" t="inlineStr">
        <is>
          <t>P1</t>
        </is>
      </c>
    </row>
    <row r="20">
      <c r="A20" s="59" t="inlineStr">
        <is>
          <t>embedding失敗</t>
        </is>
      </c>
      <c r="B20" s="59" t="inlineStr">
        <is>
          <t>retry+marker</t>
        </is>
      </c>
      <c r="C20" s="59" t="inlineStr">
        <is>
          <t>stage再実行</t>
        </is>
      </c>
      <c r="D20" s="59" t="inlineStr">
        <is>
          <t>-</t>
        </is>
      </c>
      <c r="E20" s="59" t="inlineStr">
        <is>
          <t>P1</t>
        </is>
      </c>
    </row>
    <row r="21">
      <c r="A21" s="59" t="inlineStr">
        <is>
          <t>削除依頼期限</t>
        </is>
      </c>
      <c r="B21" s="59" t="inlineStr">
        <is>
          <t>30日SLA超過防止</t>
        </is>
      </c>
      <c r="C21" s="59" t="inlineStr">
        <is>
          <t>admin reminder</t>
        </is>
      </c>
      <c r="D21" s="59" t="inlineStr">
        <is>
          <t>ダッシュボード</t>
        </is>
      </c>
      <c r="E21" s="59" t="inlineStr">
        <is>
          <t>P2</t>
        </is>
      </c>
    </row>
    <row r="23">
      <c r="A23" s="41" t="inlineStr">
        <is>
          <t>■ v2.3 追加(実演シミュ反映)</t>
        </is>
      </c>
      <c r="B23" s="41" t="n"/>
      <c r="C23" s="41" t="n"/>
      <c r="D23" s="41" t="n"/>
      <c r="E23" s="41" t="n"/>
    </row>
    <row r="24">
      <c r="A24" s="41" t="inlineStr">
        <is>
          <t>分類</t>
        </is>
      </c>
      <c r="B24" s="41" t="inlineStr">
        <is>
          <t>要件</t>
        </is>
      </c>
      <c r="C24" s="41" t="inlineStr">
        <is>
          <t>実装</t>
        </is>
      </c>
      <c r="D24" s="41" t="inlineStr">
        <is>
          <t>UI</t>
        </is>
      </c>
      <c r="E24" s="41" t="inlineStr">
        <is>
          <t>Phase</t>
        </is>
      </c>
    </row>
    <row r="25">
      <c r="A25" s="41" t="inlineStr">
        <is>
          <t>録画ライブ停止(F-S4-5)</t>
        </is>
      </c>
      <c r="B25" s="41" t="inlineStr">
        <is>
          <t>Zoom recording.pausedを即時警告</t>
        </is>
      </c>
      <c r="C25" s="41" t="inlineStr">
        <is>
          <t>webhook→Push+SMS+ライブインジケータ</t>
        </is>
      </c>
      <c r="D25" s="41" t="inlineStr">
        <is>
          <t>BriefCard右上</t>
        </is>
      </c>
      <c r="E25" s="41" t="inlineStr">
        <is>
          <t>P1</t>
        </is>
      </c>
    </row>
    <row r="26">
      <c r="A26" s="41" t="inlineStr">
        <is>
          <t>meeting_brief縮退(F-S4-4)</t>
        </is>
      </c>
      <c r="B26" s="41" t="inlineStr">
        <is>
          <t>完全版失敗時に縮退表示</t>
        </is>
      </c>
      <c r="C26" s="41" t="inlineStr">
        <is>
          <t>q_meeting_brief_degraded即時+full失敗フォールバック</t>
        </is>
      </c>
      <c r="D26" s="41" t="inlineStr">
        <is>
          <t>BriefCardにmode badge</t>
        </is>
      </c>
      <c r="E26" s="41" t="inlineStr">
        <is>
          <t>P2</t>
        </is>
      </c>
    </row>
    <row r="27">
      <c r="A27" s="41" t="inlineStr">
        <is>
          <t>live-search別ウィンドウ(F-S4-1)</t>
        </is>
      </c>
      <c r="B27" s="41" t="inlineStr">
        <is>
          <t>Zoom画面共有との両立</t>
        </is>
      </c>
      <c r="C27" s="41" t="inlineStr">
        <is>
          <t>window.open popup</t>
        </is>
      </c>
      <c r="D27" s="41" t="inlineStr">
        <is>
          <t>ドラッグ&amp;ドロップ共有</t>
        </is>
      </c>
      <c r="E27" s="41" t="inlineStr">
        <is>
          <t>P2</t>
        </is>
      </c>
    </row>
    <row r="28">
      <c r="A28" s="41" t="inlineStr">
        <is>
          <t>インライン編集の整合(F-S5-1)</t>
        </is>
      </c>
      <c r="B28" s="41" t="inlineStr">
        <is>
          <t>派生成果物pending時disable</t>
        </is>
      </c>
      <c r="C28" s="41" t="inlineStr">
        <is>
          <t>derived_artifacts_status</t>
        </is>
      </c>
      <c r="D28" s="41" t="inlineStr">
        <is>
          <t>発行ボタン+理由表示</t>
        </is>
      </c>
      <c r="E28" s="41" t="inlineStr">
        <is>
          <t>P2</t>
        </is>
      </c>
    </row>
    <row r="29">
      <c r="A29" s="41" t="inlineStr">
        <is>
          <t>voice_memo中断(F-S14-2)</t>
        </is>
      </c>
      <c r="B29" s="41" t="inlineStr">
        <is>
          <t>部分保存→再開</t>
        </is>
      </c>
      <c r="C29" s="41" t="inlineStr">
        <is>
          <t>onInterrupt segments[]</t>
        </is>
      </c>
      <c r="D29" s="41" t="inlineStr">
        <is>
          <t>UI再開prompt+波形中断点</t>
        </is>
      </c>
      <c r="E29" s="41" t="inlineStr">
        <is>
          <t>P2</t>
        </is>
      </c>
    </row>
    <row r="30">
      <c r="A30" s="41" t="inlineStr">
        <is>
          <t>legacy_import resume(F-S12-2)</t>
        </is>
      </c>
      <c r="B30" s="41" t="inlineStr">
        <is>
          <t>ブラウザ閉じても再開</t>
        </is>
      </c>
      <c r="C30" s="41" t="inlineStr">
        <is>
          <t>staged_state(field_mapping/cursor)</t>
        </is>
      </c>
      <c r="D30" s="41" t="inlineStr">
        <is>
          <t>SC-62 Resume button</t>
        </is>
      </c>
      <c r="E30" s="41" t="inlineStr">
        <is>
          <t>P2</t>
        </is>
      </c>
    </row>
    <row r="31">
      <c r="A31" s="41" t="inlineStr">
        <is>
          <t>audit chain破断クローズ(F-S10-3)</t>
        </is>
      </c>
      <c r="B31" s="41" t="inlineStr">
        <is>
          <t>incident管理</t>
        </is>
      </c>
      <c r="C31" s="41" t="inlineStr">
        <is>
          <t>dual approval+RCA</t>
        </is>
      </c>
      <c r="D31" s="41" t="inlineStr">
        <is>
          <t>SC-77改修+SC-80</t>
        </is>
      </c>
      <c r="E31" s="41" t="inlineStr">
        <is>
          <t>P2</t>
        </is>
      </c>
    </row>
    <row r="32">
      <c r="A32" s="41" t="inlineStr">
        <is>
          <t>DR restore セルフサービス(F-S10-1)</t>
        </is>
      </c>
      <c r="B32" s="41" t="inlineStr">
        <is>
          <t>admin UI</t>
        </is>
      </c>
      <c r="C32" s="41" t="inlineStr">
        <is>
          <t>SC-78+AP-129/130</t>
        </is>
      </c>
      <c r="D32" s="41" t="inlineStr">
        <is>
          <t>Approval queue</t>
        </is>
      </c>
      <c r="E32" s="41" t="inlineStr">
        <is>
          <t>P3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0" customWidth="1" style="28" min="2" max="2"/>
    <col width="30" customWidth="1" style="28" min="3" max="3"/>
    <col width="22" customWidth="1" style="28" min="4" max="4"/>
    <col width="6" customWidth="1" style="28" min="5" max="5"/>
  </cols>
  <sheetData>
    <row r="1">
      <c r="A1" s="56" t="inlineStr">
        <is>
          <t>アクセシビリティ・i18n</t>
        </is>
      </c>
    </row>
    <row r="2">
      <c r="A2" s="57" t="inlineStr">
        <is>
          <t>WCAG AA/キーボード/i18n</t>
        </is>
      </c>
    </row>
    <row r="4">
      <c r="A4" s="58" t="inlineStr">
        <is>
          <t>項目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検証</t>
        </is>
      </c>
      <c r="E4" s="58" t="inlineStr">
        <is>
          <t>Phase</t>
        </is>
      </c>
    </row>
    <row r="5">
      <c r="A5" s="59" t="inlineStr">
        <is>
          <t>コントラスト比</t>
        </is>
      </c>
      <c r="B5" s="59" t="inlineStr">
        <is>
          <t>4.5:1+</t>
        </is>
      </c>
      <c r="C5" s="59" t="inlineStr">
        <is>
          <t>Tailwindテーマ準拠</t>
        </is>
      </c>
      <c r="D5" s="59" t="inlineStr">
        <is>
          <t>axe CI</t>
        </is>
      </c>
      <c r="E5" s="59" t="inlineStr">
        <is>
          <t>P3</t>
        </is>
      </c>
    </row>
    <row r="6">
      <c r="A6" s="59" t="inlineStr">
        <is>
          <t>キーボードナビ</t>
        </is>
      </c>
      <c r="B6" s="59" t="inlineStr">
        <is>
          <t>完全</t>
        </is>
      </c>
      <c r="C6" s="59" t="inlineStr">
        <is>
          <t>focus order+skip link</t>
        </is>
      </c>
      <c r="D6" s="59" t="inlineStr">
        <is>
          <t>Playwright</t>
        </is>
      </c>
      <c r="E6" s="59" t="inlineStr">
        <is>
          <t>P3</t>
        </is>
      </c>
    </row>
    <row r="7">
      <c r="A7" s="59" t="inlineStr">
        <is>
          <t>スクリーンリーダー</t>
        </is>
      </c>
      <c r="B7" s="59" t="inlineStr">
        <is>
          <t>ARIA属性</t>
        </is>
      </c>
      <c r="C7" s="59" t="inlineStr">
        <is>
          <t>role/aria-label/live region</t>
        </is>
      </c>
      <c r="D7" s="59" t="inlineStr">
        <is>
          <t>NVDA/VoiceOver手動</t>
        </is>
      </c>
      <c r="E7" s="59" t="inlineStr">
        <is>
          <t>P3</t>
        </is>
      </c>
    </row>
    <row r="8">
      <c r="A8" s="59" t="inlineStr">
        <is>
          <t>フォーカス可視</t>
        </is>
      </c>
      <c r="B8" s="59" t="inlineStr">
        <is>
          <t>明確</t>
        </is>
      </c>
      <c r="C8" s="59" t="inlineStr">
        <is>
          <t>focus-visible</t>
        </is>
      </c>
      <c r="D8" s="59" t="inlineStr">
        <is>
          <t>-</t>
        </is>
      </c>
      <c r="E8" s="59" t="inlineStr">
        <is>
          <t>P3</t>
        </is>
      </c>
    </row>
    <row r="9">
      <c r="A9" s="59" t="inlineStr">
        <is>
          <t>代替テキスト</t>
        </is>
      </c>
      <c r="B9" s="59" t="inlineStr">
        <is>
          <t>画像/動画</t>
        </is>
      </c>
      <c r="C9" s="59" t="inlineStr">
        <is>
          <t>alt+caption track</t>
        </is>
      </c>
      <c r="D9" s="59" t="inlineStr">
        <is>
          <t>Lighthouse</t>
        </is>
      </c>
      <c r="E9" s="59" t="inlineStr">
        <is>
          <t>P3</t>
        </is>
      </c>
    </row>
    <row r="10">
      <c r="A10" s="59" t="inlineStr">
        <is>
          <t>拡大耐性</t>
        </is>
      </c>
      <c r="B10" s="59" t="inlineStr">
        <is>
          <t>200%まで</t>
        </is>
      </c>
      <c r="C10" s="59" t="inlineStr">
        <is>
          <t>layout責務分離</t>
        </is>
      </c>
      <c r="D10" s="59" t="inlineStr">
        <is>
          <t>-</t>
        </is>
      </c>
      <c r="E10" s="59" t="inlineStr">
        <is>
          <t>P3</t>
        </is>
      </c>
    </row>
    <row r="11">
      <c r="A11" s="59" t="inlineStr">
        <is>
          <t>色のみで情報伝達禁止</t>
        </is>
      </c>
      <c r="B11" s="59" t="inlineStr">
        <is>
          <t>アイコン/テキスト併用</t>
        </is>
      </c>
      <c r="C11" s="59" t="inlineStr">
        <is>
          <t>-</t>
        </is>
      </c>
      <c r="D11" s="59" t="inlineStr">
        <is>
          <t>-</t>
        </is>
      </c>
      <c r="E11" s="59" t="inlineStr">
        <is>
          <t>P3</t>
        </is>
      </c>
    </row>
    <row r="12">
      <c r="A12" s="59" t="inlineStr">
        <is>
          <t>フォーム</t>
        </is>
      </c>
      <c r="B12" s="59" t="inlineStr">
        <is>
          <t>ラベル必須</t>
        </is>
      </c>
      <c r="C12" s="59" t="inlineStr">
        <is>
          <t>htmlFor</t>
        </is>
      </c>
      <c r="D12" s="59" t="inlineStr">
        <is>
          <t>axe</t>
        </is>
      </c>
      <c r="E12" s="59" t="inlineStr">
        <is>
          <t>P3</t>
        </is>
      </c>
    </row>
    <row r="13">
      <c r="A13" s="59" t="inlineStr">
        <is>
          <t>i18n</t>
        </is>
      </c>
      <c r="B13" s="59" t="inlineStr">
        <is>
          <t>ja/en</t>
        </is>
      </c>
      <c r="C13" s="59" t="inlineStr">
        <is>
          <t>next-i18next</t>
        </is>
      </c>
      <c r="D13" s="59" t="inlineStr">
        <is>
          <t>ICU MessageFormat</t>
        </is>
      </c>
      <c r="E13" s="59" t="inlineStr">
        <is>
          <t>P3</t>
        </is>
      </c>
    </row>
    <row r="14">
      <c r="A14" s="59" t="inlineStr">
        <is>
          <t>share/[token] i18n</t>
        </is>
      </c>
      <c r="B14" s="59" t="inlineStr">
        <is>
          <t>Accept-Language自動</t>
        </is>
      </c>
      <c r="C14" s="59" t="inlineStr">
        <is>
          <t>lazy load locale</t>
        </is>
      </c>
      <c r="D14" s="59" t="inlineStr">
        <is>
          <t>-</t>
        </is>
      </c>
      <c r="E14" s="59" t="inlineStr">
        <is>
          <t>P3</t>
        </is>
      </c>
    </row>
    <row r="15">
      <c r="A15" s="59" t="inlineStr">
        <is>
          <t>日付/数値</t>
        </is>
      </c>
      <c r="B15" s="59" t="inlineStr">
        <is>
          <t>TZ/Locale対応</t>
        </is>
      </c>
      <c r="C15" s="59" t="inlineStr">
        <is>
          <t>Intl.DateTimeFormat</t>
        </is>
      </c>
      <c r="D15" s="59" t="inlineStr">
        <is>
          <t>-</t>
        </is>
      </c>
      <c r="E15" s="59" t="inlineStr">
        <is>
          <t>P3</t>
        </is>
      </c>
    </row>
    <row r="16">
      <c r="A16" s="59" t="inlineStr">
        <is>
          <t>右から左言語(将来)</t>
        </is>
      </c>
      <c r="B16" s="59" t="inlineStr">
        <is>
          <t>CSS logical</t>
        </is>
      </c>
      <c r="C16" s="59" t="inlineStr">
        <is>
          <t>-</t>
        </is>
      </c>
      <c r="D16" s="59" t="inlineStr">
        <is>
          <t>-</t>
        </is>
      </c>
      <c r="E16" s="59" t="inlineStr">
        <is>
          <t>P3</t>
        </is>
      </c>
    </row>
    <row r="17">
      <c r="A17" s="59" t="inlineStr">
        <is>
          <t>a11yユニットテスト</t>
        </is>
      </c>
      <c r="B17" s="59" t="inlineStr">
        <is>
          <t>コンポーネント単位</t>
        </is>
      </c>
      <c r="C17" s="59" t="inlineStr">
        <is>
          <t>jest-axe</t>
        </is>
      </c>
      <c r="D17" s="59" t="inlineStr">
        <is>
          <t>CI gate</t>
        </is>
      </c>
      <c r="E17" s="59" t="inlineStr">
        <is>
          <t>P3</t>
        </is>
      </c>
    </row>
    <row r="18">
      <c r="A18" s="59" t="inlineStr">
        <is>
          <t>a11y E2E</t>
        </is>
      </c>
      <c r="B18" s="59" t="inlineStr">
        <is>
          <t>主要画面</t>
        </is>
      </c>
      <c r="C18" s="59" t="inlineStr">
        <is>
          <t>Playwright+axe</t>
        </is>
      </c>
      <c r="D18" s="59" t="inlineStr">
        <is>
          <t>CI gate</t>
        </is>
      </c>
      <c r="E18" s="59" t="inlineStr">
        <is>
          <t>P3</t>
        </is>
      </c>
    </row>
    <row r="19">
      <c r="A19" s="59" t="inlineStr">
        <is>
          <t>障害者向け代替UI</t>
        </is>
      </c>
      <c r="B19" s="59" t="inlineStr">
        <is>
          <t>音声入力対応</t>
        </is>
      </c>
      <c r="C19" s="59" t="inlineStr">
        <is>
          <t>Web Speech API</t>
        </is>
      </c>
      <c r="D19" s="59" t="inlineStr">
        <is>
          <t>-</t>
        </is>
      </c>
      <c r="E19" s="59" t="inlineStr">
        <is>
          <t>P3</t>
        </is>
      </c>
    </row>
    <row r="20">
      <c r="A20" s="59" t="inlineStr">
        <is>
          <t>フォーカス管理</t>
        </is>
      </c>
      <c r="B20" s="59" t="inlineStr">
        <is>
          <t>Modal/Drawer</t>
        </is>
      </c>
      <c r="C20" s="59" t="inlineStr">
        <is>
          <t>focus trap</t>
        </is>
      </c>
      <c r="D20" s="59" t="inlineStr">
        <is>
          <t>-</t>
        </is>
      </c>
      <c r="E20" s="59" t="inlineStr">
        <is>
          <t>P3</t>
        </is>
      </c>
    </row>
    <row r="22">
      <c r="A22" s="41" t="inlineStr">
        <is>
          <t>■ Round2指摘反映追加(v2.2)</t>
        </is>
      </c>
      <c r="B22" s="41" t="n"/>
      <c r="C22" s="41" t="n"/>
      <c r="D22" s="41" t="n"/>
      <c r="E22" s="41" t="n"/>
    </row>
    <row r="23">
      <c r="A23" s="41" t="inlineStr">
        <is>
          <t>項目</t>
        </is>
      </c>
      <c r="B23" s="41" t="inlineStr">
        <is>
          <t>要件</t>
        </is>
      </c>
      <c r="C23" s="41" t="inlineStr">
        <is>
          <t>実装</t>
        </is>
      </c>
      <c r="D23" s="41" t="inlineStr">
        <is>
          <t>検証</t>
        </is>
      </c>
      <c r="E23" s="41" t="inlineStr">
        <is>
          <t>Phase</t>
        </is>
      </c>
    </row>
    <row r="24">
      <c r="A24" s="41" t="inlineStr">
        <is>
          <t>handedness_setting</t>
        </is>
      </c>
      <c r="B24" s="41" t="inlineStr">
        <is>
          <t>左/右利き設定</t>
        </is>
      </c>
      <c r="C24" s="41" t="inlineStr">
        <is>
          <t>ユーザ設定で left|right、UI ミラーリング</t>
        </is>
      </c>
      <c r="D24" s="41" t="inlineStr">
        <is>
          <t>E2E(両モード)</t>
        </is>
      </c>
      <c r="E24" s="41" t="inlineStr">
        <is>
          <t>P3</t>
        </is>
      </c>
    </row>
    <row r="25">
      <c r="A25" s="41" t="inlineStr">
        <is>
          <t>reach_zone_guideline</t>
        </is>
      </c>
      <c r="B25" s="41" t="inlineStr">
        <is>
          <t>親指可動域に主要CTA配置</t>
        </is>
      </c>
      <c r="C25" s="41" t="inlineStr">
        <is>
          <t>モバイル下部1/3に primary action、上部は閲覧</t>
        </is>
      </c>
      <c r="D25" s="41" t="inlineStr">
        <is>
          <t>Playwright手動寸法計測</t>
        </is>
      </c>
      <c r="E25" s="41" t="inlineStr">
        <is>
          <t>P3</t>
        </is>
      </c>
    </row>
    <row r="26">
      <c r="A26" s="41" t="inlineStr">
        <is>
          <t>one_handed_audit</t>
        </is>
      </c>
      <c r="B26" s="41" t="inlineStr">
        <is>
          <t>片手操作監査</t>
        </is>
      </c>
      <c r="C26" s="41" t="inlineStr">
        <is>
          <t>主要モバイル画面で1点接触のみで完遂可能</t>
        </is>
      </c>
      <c r="D26" s="41" t="inlineStr">
        <is>
          <t>E2E(単一指)</t>
        </is>
      </c>
      <c r="E26" s="41" t="inlineStr">
        <is>
          <t>P3</t>
        </is>
      </c>
    </row>
    <row r="27">
      <c r="A27" s="41" t="inlineStr">
        <is>
          <t>dark_mode</t>
        </is>
      </c>
      <c r="B27" s="41" t="inlineStr">
        <is>
          <t>暗所配慮</t>
        </is>
      </c>
      <c r="C27" s="41" t="inlineStr">
        <is>
          <t>prefers-color-scheme自動+手動</t>
        </is>
      </c>
      <c r="D27" s="41" t="inlineStr">
        <is>
          <t>UIテスト</t>
        </is>
      </c>
      <c r="E27" s="41" t="inlineStr">
        <is>
          <t>P3</t>
        </is>
      </c>
    </row>
    <row r="28">
      <c r="A28" s="41" t="inlineStr">
        <is>
          <t>high_contrast_mode</t>
        </is>
      </c>
      <c r="B28" s="41" t="inlineStr">
        <is>
          <t>高コントラスト</t>
        </is>
      </c>
      <c r="C28" s="41" t="inlineStr">
        <is>
          <t>設定で切替</t>
        </is>
      </c>
      <c r="D28" s="41" t="inlineStr">
        <is>
          <t>-</t>
        </is>
      </c>
      <c r="E28" s="41" t="inlineStr">
        <is>
          <t>P3</t>
        </is>
      </c>
    </row>
    <row r="29">
      <c r="A29" s="41" t="inlineStr">
        <is>
          <t>voice_input_alt</t>
        </is>
      </c>
      <c r="B29" s="41" t="inlineStr">
        <is>
          <t>音声入力代替</t>
        </is>
      </c>
      <c r="C29" s="41" t="inlineStr">
        <is>
          <t>Web Speech API主要フォーム対応</t>
        </is>
      </c>
      <c r="D29" s="41" t="inlineStr">
        <is>
          <t>-</t>
        </is>
      </c>
      <c r="E29" s="41" t="inlineStr">
        <is>
          <t>P3</t>
        </is>
      </c>
    </row>
    <row r="31">
      <c r="A31" s="41" t="inlineStr">
        <is>
          <t>■ v2.3 追加(実演シミュ反映)</t>
        </is>
      </c>
      <c r="B31" s="41" t="n"/>
      <c r="C31" s="41" t="n"/>
      <c r="D31" s="41" t="n"/>
      <c r="E31" s="41" t="n"/>
    </row>
    <row r="32">
      <c r="A32" s="41" t="inlineStr">
        <is>
          <t>項目</t>
        </is>
      </c>
      <c r="B32" s="41" t="inlineStr">
        <is>
          <t>要件</t>
        </is>
      </c>
      <c r="C32" s="41" t="inlineStr">
        <is>
          <t>実装</t>
        </is>
      </c>
      <c r="D32" s="41" t="inlineStr">
        <is>
          <t>検証</t>
        </is>
      </c>
      <c r="E32" s="41" t="inlineStr">
        <is>
          <t>Phase</t>
        </is>
      </c>
    </row>
    <row r="33">
      <c r="A33" s="41" t="inlineStr">
        <is>
          <t>コンポーネント別ARIA定義(F-UX-2)</t>
        </is>
      </c>
      <c r="B33" s="41" t="inlineStr">
        <is>
          <t>SC毎に必須ARIA明記</t>
        </is>
      </c>
      <c r="C33" s="41" t="inlineStr">
        <is>
          <t>02_screensのa11y要件列(v2.3)</t>
        </is>
      </c>
      <c r="D33" s="41" t="inlineStr">
        <is>
          <t>Storybook+jest-axe</t>
        </is>
      </c>
      <c r="E33" s="41" t="inlineStr">
        <is>
          <t>P3</t>
        </is>
      </c>
    </row>
    <row r="34">
      <c r="A34" s="41" t="inlineStr">
        <is>
          <t>live region優先度(F-UX-2)</t>
        </is>
      </c>
      <c r="B34" s="41" t="inlineStr">
        <is>
          <t>ロード時off→操作後polite, 3件以上はサマリ</t>
        </is>
      </c>
      <c r="C34" s="41" t="inlineStr">
        <is>
          <t>React Aria Liveラッパ</t>
        </is>
      </c>
      <c r="D34" s="41" t="inlineStr">
        <is>
          <t>スクリーンリーダー手動</t>
        </is>
      </c>
      <c r="E34" s="41" t="inlineStr">
        <is>
          <t>P3</t>
        </is>
      </c>
    </row>
    <row r="35">
      <c r="A35" s="41" t="inlineStr">
        <is>
          <t>i18n PDF/email/watermark(F-UX-1)</t>
        </is>
      </c>
      <c r="B35" s="41" t="inlineStr">
        <is>
          <t>export_templates(locale,kind)</t>
        </is>
      </c>
      <c r="C35" s="41" t="inlineStr">
        <is>
          <t>React PDF + i18n stringify</t>
        </is>
      </c>
      <c r="D35" s="41" t="inlineStr">
        <is>
          <t>リリース前にlegal review</t>
        </is>
      </c>
      <c r="E35" s="41" t="inlineStr">
        <is>
          <t>P3</t>
        </is>
      </c>
    </row>
    <row r="36">
      <c r="A36" s="41" t="inlineStr">
        <is>
          <t>share/[token] ロケール解決(F-UX-1)</t>
        </is>
      </c>
      <c r="B36" s="41" t="inlineStr">
        <is>
          <t>token原作成者locale or recipient Accept-Language</t>
        </is>
      </c>
      <c r="C36" s="41" t="inlineStr">
        <is>
          <t>middleware</t>
        </is>
      </c>
      <c r="D36" s="41" t="inlineStr">
        <is>
          <t>E2E(en/ja)</t>
        </is>
      </c>
      <c r="E36" s="41" t="inlineStr">
        <is>
          <t>P3</t>
        </is>
      </c>
    </row>
    <row r="37">
      <c r="A37" s="41" t="inlineStr">
        <is>
          <t>voice command shutter(F-S1-1)</t>
        </is>
      </c>
      <c r="B37" s="41" t="inlineStr">
        <is>
          <t>音声でシャッター</t>
        </is>
      </c>
      <c r="C37" s="41" t="inlineStr">
        <is>
          <t>Web Speech API</t>
        </is>
      </c>
      <c r="D37" s="41" t="inlineStr">
        <is>
          <t>-</t>
        </is>
      </c>
      <c r="E37" s="41" t="inlineStr">
        <is>
          <t>P2</t>
        </is>
      </c>
    </row>
    <row r="38">
      <c r="A38" s="41" t="inlineStr">
        <is>
          <t>dark_mode自動</t>
        </is>
      </c>
      <c r="B38" s="41" t="inlineStr">
        <is>
          <t>prefers-color-scheme+手動</t>
        </is>
      </c>
      <c r="C38" s="41" t="inlineStr">
        <is>
          <t>Tailwind</t>
        </is>
      </c>
      <c r="D38" s="41" t="inlineStr">
        <is>
          <t>-</t>
        </is>
      </c>
      <c r="E38" s="41" t="inlineStr">
        <is>
          <t>P3</t>
        </is>
      </c>
    </row>
    <row r="40">
      <c r="A40" s="41" t="inlineStr">
        <is>
          <t>■ v2.4 追加(再シミュ残課題)</t>
        </is>
      </c>
      <c r="B40" s="41" t="n"/>
      <c r="C40" s="41" t="n"/>
      <c r="D40" s="41" t="n"/>
      <c r="E40" s="41" t="n"/>
    </row>
    <row r="41">
      <c r="A41" s="41" t="inlineStr">
        <is>
          <t>項目</t>
        </is>
      </c>
      <c r="B41" s="41" t="inlineStr">
        <is>
          <t>要件</t>
        </is>
      </c>
      <c r="C41" s="41" t="inlineStr">
        <is>
          <t>実装</t>
        </is>
      </c>
      <c r="D41" s="41" t="inlineStr">
        <is>
          <t>検証</t>
        </is>
      </c>
      <c r="E41" s="41" t="inlineStr">
        <is>
          <t>Phase</t>
        </is>
      </c>
    </row>
    <row r="42">
      <c r="A42" s="41" t="inlineStr">
        <is>
          <t>citation pending UI(F-S13-4再)</t>
        </is>
      </c>
      <c r="B42" s="41" t="inlineStr">
        <is>
          <t>speaker_confidence表示</t>
        </is>
      </c>
      <c r="C42" s="41" t="inlineStr">
        <is>
          <t>破線枠+警告アイコン+aria-label='話者未確定'+confidence%表示</t>
        </is>
      </c>
      <c r="D42" s="41" t="inlineStr">
        <is>
          <t>jest-axe+manual</t>
        </is>
      </c>
      <c r="E42" s="41" t="inlineStr">
        <is>
          <t>P3</t>
        </is>
      </c>
    </row>
    <row r="43">
      <c r="A43" s="41" t="inlineStr">
        <is>
          <t>翻訳開示UI(NF-UX-1)</t>
        </is>
      </c>
      <c r="B43" s="41" t="inlineStr">
        <is>
          <t>machine_translated_enバッジ+quality_disclaimer</t>
        </is>
      </c>
      <c r="C43" s="41" t="inlineStr">
        <is>
          <t>aria-describedby で開示文読み上げ</t>
        </is>
      </c>
      <c r="D43" s="41" t="inlineStr">
        <is>
          <t>-</t>
        </is>
      </c>
      <c r="E43" s="41" t="inlineStr">
        <is>
          <t>P3</t>
        </is>
      </c>
    </row>
    <row r="44">
      <c r="A44" s="41" t="inlineStr">
        <is>
          <t>former_employee表示優先(NF-S5-2)</t>
        </is>
      </c>
      <c r="B44" s="41" t="inlineStr">
        <is>
          <t>役職警告 &gt; マスキング &gt; 通常</t>
        </is>
      </c>
      <c r="C44" s="41" t="inlineStr">
        <is>
          <t>aria-describedby で両方読み上げ</t>
        </is>
      </c>
      <c r="D44" s="41" t="inlineStr">
        <is>
          <t>manual</t>
        </is>
      </c>
      <c r="E44" s="41" t="inlineStr">
        <is>
          <t>P3</t>
        </is>
      </c>
    </row>
    <row r="46">
      <c r="A46" s="41" t="inlineStr">
        <is>
          <t>■ v2.5 追加(R3 minor)</t>
        </is>
      </c>
      <c r="B46" s="41" t="n"/>
      <c r="C46" s="41" t="n"/>
      <c r="D46" s="41" t="n"/>
      <c r="E46" s="41" t="n"/>
    </row>
    <row r="47">
      <c r="A47" s="41" t="inlineStr">
        <is>
          <t>項目</t>
        </is>
      </c>
      <c r="B47" s="41" t="inlineStr">
        <is>
          <t>要件</t>
        </is>
      </c>
      <c r="C47" s="41" t="inlineStr">
        <is>
          <t>実装</t>
        </is>
      </c>
      <c r="D47" s="41" t="inlineStr">
        <is>
          <t>検証</t>
        </is>
      </c>
      <c r="E47" s="41" t="inlineStr">
        <is>
          <t>Phase</t>
        </is>
      </c>
    </row>
    <row r="48">
      <c r="A48" s="41" t="inlineStr">
        <is>
          <t>speaker_confidence動的通知(NF3-A11Y-1)</t>
        </is>
      </c>
      <c r="B48" s="41" t="inlineStr">
        <is>
          <t>aria-live=politeで『話者確度X%に更新』</t>
        </is>
      </c>
      <c r="C48" s="41" t="inlineStr">
        <is>
          <t>SC-72/SC-43のlive region表に追加</t>
        </is>
      </c>
      <c r="D48" s="41" t="inlineStr">
        <is>
          <t>NVDA手動+jest-axe</t>
        </is>
      </c>
      <c r="E48" s="41" t="inlineStr">
        <is>
          <t>P3</t>
        </is>
      </c>
    </row>
    <row r="49">
      <c r="A49" s="41" t="inlineStr">
        <is>
          <t>人手翻訳リンクのa11y(NF3-UX-2)</t>
        </is>
      </c>
      <c r="B49" s="41" t="inlineStr">
        <is>
          <t>aria-label='人手翻訳を依頼(SLA 5営業日)'</t>
        </is>
      </c>
      <c r="C49" s="41" t="inlineStr">
        <is>
          <t>SC-31</t>
        </is>
      </c>
      <c r="D49" s="41" t="inlineStr">
        <is>
          <t>axe</t>
        </is>
      </c>
      <c r="E49" s="41" t="inlineStr">
        <is>
          <t>P3</t>
        </is>
      </c>
    </row>
    <row r="50">
      <c r="A50" s="41" t="inlineStr">
        <is>
          <t>代理人タブのa11y(NF3-S11-1)</t>
        </is>
      </c>
      <c r="B50" s="41" t="inlineStr">
        <is>
          <t>tablist role+keyboard cycle</t>
        </is>
      </c>
      <c r="C50" s="41" t="inlineStr">
        <is>
          <t>SC-60a</t>
        </is>
      </c>
      <c r="D50" s="41" t="inlineStr">
        <is>
          <t>axe+manual</t>
        </is>
      </c>
      <c r="E50" s="41" t="inlineStr">
        <is>
          <t>P2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8" customWidth="1" style="28" min="2" max="2"/>
    <col width="30" customWidth="1" style="28" min="3" max="3"/>
    <col width="22" customWidth="1" style="28" min="4" max="4"/>
    <col width="6" customWidth="1" style="28" min="5" max="5"/>
  </cols>
  <sheetData>
    <row r="1">
      <c r="A1" s="56" t="inlineStr">
        <is>
          <t>feature flags / A/Bテスト</t>
        </is>
      </c>
    </row>
    <row r="2">
      <c r="A2" s="57" t="inlineStr">
        <is>
          <t>β機能ロールアウト/メールテンプレ効果測定</t>
        </is>
      </c>
    </row>
    <row r="4">
      <c r="A4" s="58" t="inlineStr">
        <is>
          <t>項目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管理</t>
        </is>
      </c>
      <c r="E4" s="58" t="inlineStr">
        <is>
          <t>Phase</t>
        </is>
      </c>
    </row>
    <row r="5">
      <c r="A5" s="59" t="inlineStr">
        <is>
          <t>フラグ</t>
        </is>
      </c>
      <c r="B5" s="59" t="inlineStr">
        <is>
          <t>ON/OFF/percentage</t>
        </is>
      </c>
      <c r="C5" s="59" t="inlineStr">
        <is>
          <t>feature_flags(percentage,allowlist,blocklist)</t>
        </is>
      </c>
      <c r="D5" s="59" t="inlineStr">
        <is>
          <t>/admin/features</t>
        </is>
      </c>
      <c r="E5" s="59" t="inlineStr">
        <is>
          <t>P2</t>
        </is>
      </c>
    </row>
    <row r="6">
      <c r="A6" s="59" t="inlineStr">
        <is>
          <t>割当</t>
        </is>
      </c>
      <c r="B6" s="59" t="inlineStr">
        <is>
          <t>stable hash</t>
        </is>
      </c>
      <c r="C6" s="59" t="inlineStr">
        <is>
          <t>sha256(user_id+key)%100</t>
        </is>
      </c>
      <c r="D6" s="59" t="inlineStr">
        <is>
          <t>-</t>
        </is>
      </c>
      <c r="E6" s="59" t="inlineStr">
        <is>
          <t>P2</t>
        </is>
      </c>
    </row>
    <row r="7">
      <c r="A7" s="59" t="inlineStr">
        <is>
          <t>ロールアウト</t>
        </is>
      </c>
      <c r="B7" s="59" t="inlineStr">
        <is>
          <t>段階(5/25/50/100%)</t>
        </is>
      </c>
      <c r="C7" s="59" t="inlineStr">
        <is>
          <t>admin UI</t>
        </is>
      </c>
      <c r="D7" s="59" t="inlineStr">
        <is>
          <t>SOP</t>
        </is>
      </c>
      <c r="E7" s="59" t="inlineStr">
        <is>
          <t>P2</t>
        </is>
      </c>
    </row>
    <row r="8">
      <c r="A8" s="59" t="inlineStr">
        <is>
          <t>killswitch</t>
        </is>
      </c>
      <c r="B8" s="59" t="inlineStr">
        <is>
          <t>即時OFF</t>
        </is>
      </c>
      <c r="C8" s="59" t="inlineStr">
        <is>
          <t>percentage=0</t>
        </is>
      </c>
      <c r="D8" s="59" t="inlineStr">
        <is>
          <t>-</t>
        </is>
      </c>
      <c r="E8" s="59" t="inlineStr">
        <is>
          <t>P2</t>
        </is>
      </c>
    </row>
    <row r="9">
      <c r="A9" s="59" t="inlineStr">
        <is>
          <t>観測性</t>
        </is>
      </c>
      <c r="B9" s="59" t="inlineStr">
        <is>
          <t>フラグ別Vitals/Errors</t>
        </is>
      </c>
      <c r="C9" s="59" t="inlineStr">
        <is>
          <t>Sentry tag</t>
        </is>
      </c>
      <c r="D9" s="59" t="inlineStr">
        <is>
          <t>-</t>
        </is>
      </c>
      <c r="E9" s="59" t="inlineStr">
        <is>
          <t>P2</t>
        </is>
      </c>
    </row>
    <row r="10">
      <c r="A10" s="59" t="inlineStr">
        <is>
          <t>A/Bテスト</t>
        </is>
      </c>
      <c r="B10" s="59" t="inlineStr">
        <is>
          <t>変数+メトリック</t>
        </is>
      </c>
      <c r="C10" s="59" t="inlineStr">
        <is>
          <t>ab_test_experiments</t>
        </is>
      </c>
      <c r="D10" s="59" t="inlineStr">
        <is>
          <t>/admin/experiments</t>
        </is>
      </c>
      <c r="E10" s="59" t="inlineStr">
        <is>
          <t>P3</t>
        </is>
      </c>
    </row>
    <row r="11">
      <c r="A11" s="59" t="inlineStr">
        <is>
          <t>割当(AB)</t>
        </is>
      </c>
      <c r="B11" s="59" t="inlineStr">
        <is>
          <t>stable hash</t>
        </is>
      </c>
      <c r="C11" s="59" t="inlineStr">
        <is>
          <t>-</t>
        </is>
      </c>
      <c r="D11" s="59" t="inlineStr">
        <is>
          <t>-</t>
        </is>
      </c>
      <c r="E11" s="59" t="inlineStr">
        <is>
          <t>P3</t>
        </is>
      </c>
    </row>
    <row r="12">
      <c r="A12" s="59" t="inlineStr">
        <is>
          <t>コホート</t>
        </is>
      </c>
      <c r="B12" s="59" t="inlineStr">
        <is>
          <t>セグメント条件</t>
        </is>
      </c>
      <c r="C12" s="59" t="inlineStr">
        <is>
          <t>-</t>
        </is>
      </c>
      <c r="D12" s="59" t="inlineStr">
        <is>
          <t>-</t>
        </is>
      </c>
      <c r="E12" s="59" t="inlineStr">
        <is>
          <t>P3</t>
        </is>
      </c>
    </row>
    <row r="13">
      <c r="A13" s="59" t="inlineStr">
        <is>
          <t>メトリック</t>
        </is>
      </c>
      <c r="B13" s="59" t="inlineStr">
        <is>
          <t>conversion/CTR/受注率</t>
        </is>
      </c>
      <c r="C13" s="59" t="inlineStr">
        <is>
          <t>ab_test_metrics</t>
        </is>
      </c>
      <c r="D13" s="59" t="inlineStr">
        <is>
          <t>-</t>
        </is>
      </c>
      <c r="E13" s="59" t="inlineStr">
        <is>
          <t>P3</t>
        </is>
      </c>
    </row>
    <row r="14">
      <c r="A14" s="59" t="inlineStr">
        <is>
          <t>有意差判定</t>
        </is>
      </c>
      <c r="B14" s="59" t="inlineStr">
        <is>
          <t>sequential testing</t>
        </is>
      </c>
      <c r="C14" s="59" t="inlineStr">
        <is>
          <t>-</t>
        </is>
      </c>
      <c r="D14" s="59" t="inlineStr">
        <is>
          <t>SRM check</t>
        </is>
      </c>
      <c r="E14" s="59" t="inlineStr">
        <is>
          <t>P3</t>
        </is>
      </c>
    </row>
    <row r="15">
      <c r="A15" s="59" t="inlineStr">
        <is>
          <t>事前停止条件</t>
        </is>
      </c>
      <c r="B15" s="59" t="inlineStr">
        <is>
          <t>破壊的変動</t>
        </is>
      </c>
      <c r="C15" s="59" t="inlineStr">
        <is>
          <t>SOP</t>
        </is>
      </c>
      <c r="D15" s="59" t="inlineStr">
        <is>
          <t>-</t>
        </is>
      </c>
      <c r="E15" s="59" t="inlineStr">
        <is>
          <t>P3</t>
        </is>
      </c>
    </row>
    <row r="16">
      <c r="A16" s="59" t="inlineStr">
        <is>
          <t>メールテンプレAB</t>
        </is>
      </c>
      <c r="B16" s="59" t="inlineStr">
        <is>
          <t>2 variants</t>
        </is>
      </c>
      <c r="C16" s="59" t="inlineStr">
        <is>
          <t>LP-30</t>
        </is>
      </c>
      <c r="D16" s="59" t="inlineStr">
        <is>
          <t>個別メトリック</t>
        </is>
      </c>
      <c r="E16" s="59" t="inlineStr">
        <is>
          <t>P3</t>
        </is>
      </c>
    </row>
    <row r="17">
      <c r="A17" s="59" t="inlineStr">
        <is>
          <t>UIテンプレAB</t>
        </is>
      </c>
      <c r="B17" s="59" t="inlineStr">
        <is>
          <t>2 variants</t>
        </is>
      </c>
      <c r="C17" s="59" t="inlineStr">
        <is>
          <t>-</t>
        </is>
      </c>
      <c r="D17" s="59" t="inlineStr">
        <is>
          <t>-</t>
        </is>
      </c>
      <c r="E17" s="59" t="inlineStr">
        <is>
          <t>P3</t>
        </is>
      </c>
    </row>
    <row r="18">
      <c r="A18" s="59" t="inlineStr">
        <is>
          <t>ロールアウトログ</t>
        </is>
      </c>
      <c r="B18" s="59" t="inlineStr">
        <is>
          <t>変更履歴</t>
        </is>
      </c>
      <c r="C18" s="59" t="inlineStr">
        <is>
          <t>feature_flags audit</t>
        </is>
      </c>
      <c r="D18" s="59" t="inlineStr">
        <is>
          <t>-</t>
        </is>
      </c>
      <c r="E18" s="59" t="inlineStr">
        <is>
          <t>P2</t>
        </is>
      </c>
    </row>
    <row r="20">
      <c r="A20" s="41" t="inlineStr">
        <is>
          <t>■ v2.3 追加(実演シミュ反映)</t>
        </is>
      </c>
      <c r="B20" s="41" t="n"/>
      <c r="C20" s="41" t="n"/>
      <c r="D20" s="41" t="n"/>
      <c r="E20" s="41" t="n"/>
    </row>
    <row r="21">
      <c r="A21" s="41" t="inlineStr">
        <is>
          <t>項目</t>
        </is>
      </c>
      <c r="B21" s="41" t="inlineStr">
        <is>
          <t>要件</t>
        </is>
      </c>
      <c r="C21" s="41" t="inlineStr">
        <is>
          <t>実装</t>
        </is>
      </c>
      <c r="D21" s="41" t="inlineStr">
        <is>
          <t>管理</t>
        </is>
      </c>
      <c r="E21" s="41" t="inlineStr">
        <is>
          <t>Phase</t>
        </is>
      </c>
    </row>
    <row r="22">
      <c r="A22" s="41" t="inlineStr">
        <is>
          <t>NDA/RFP通知ルート FF(F-S3-5)</t>
        </is>
      </c>
      <c r="B22" s="41" t="inlineStr">
        <is>
          <t>添付分類後のSlack通知ON/OFF</t>
        </is>
      </c>
      <c r="C22" s="41" t="inlineStr">
        <is>
          <t>feature_flags(notif.nda_to_legal,notif.rfp_to_deals)</t>
        </is>
      </c>
      <c r="D22" s="41" t="inlineStr">
        <is>
          <t>/admin/features</t>
        </is>
      </c>
      <c r="E22" s="41" t="inlineStr">
        <is>
          <t>P2</t>
        </is>
      </c>
    </row>
    <row r="23">
      <c r="A23" s="41" t="inlineStr">
        <is>
          <t>new_user_until ハンドリング(F-S3-1)</t>
        </is>
      </c>
      <c r="B23" s="41" t="inlineStr">
        <is>
          <t>入社&lt;3Mのconfidence高ハイライト</t>
        </is>
      </c>
      <c r="C23" s="41" t="inlineStr">
        <is>
          <t>users.new_user_untilで判定</t>
        </is>
      </c>
      <c r="D23" s="41" t="inlineStr">
        <is>
          <t>SC-14</t>
        </is>
      </c>
      <c r="E23" s="41" t="inlineStr">
        <is>
          <t>P2</t>
        </is>
      </c>
    </row>
    <row r="24">
      <c r="A24" s="41" t="inlineStr">
        <is>
          <t>Top5/Top3 注目案件(F-S8-1)</t>
        </is>
      </c>
      <c r="B24" s="41" t="inlineStr">
        <is>
          <t>週次ロールアウト</t>
        </is>
      </c>
      <c r="C24" s="41" t="inlineStr">
        <is>
          <t>FF: dashboards.attention_top5</t>
        </is>
      </c>
      <c r="D24" s="41" t="inlineStr">
        <is>
          <t>リリース管理</t>
        </is>
      </c>
      <c r="E24" s="41" t="inlineStr">
        <is>
          <t>P3</t>
        </is>
      </c>
    </row>
    <row r="25">
      <c r="A25" s="41" t="inlineStr">
        <is>
          <t>partial_artifacts_allowed(F-S5-2)</t>
        </is>
      </c>
      <c r="B25" s="41" t="inlineStr">
        <is>
          <t>stage3未完で部分発行</t>
        </is>
      </c>
      <c r="C25" s="41" t="inlineStr">
        <is>
          <t>FF: meetings.partial_artifacts</t>
        </is>
      </c>
      <c r="D25" s="41" t="inlineStr">
        <is>
          <t>admin</t>
        </is>
      </c>
      <c r="E25" s="41" t="inlineStr">
        <is>
          <t>P2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28" customWidth="1" style="28" min="2" max="2"/>
    <col width="28" customWidth="1" style="28" min="3" max="3"/>
    <col width="18" customWidth="1" style="28" min="4" max="4"/>
    <col width="18" customWidth="1" style="28" min="5" max="5"/>
    <col width="6" customWidth="1" style="28" min="6" max="6"/>
  </cols>
  <sheetData>
    <row r="1">
      <c r="A1" s="56" t="inlineStr">
        <is>
          <t>観測性・アラート</t>
        </is>
      </c>
    </row>
    <row r="2">
      <c r="A2" s="57" t="inlineStr">
        <is>
          <t>ログ/メトリクス/トレース/アラート</t>
        </is>
      </c>
    </row>
    <row r="4">
      <c r="A4" s="58" t="inlineStr">
        <is>
          <t>分類</t>
        </is>
      </c>
      <c r="B4" s="58" t="inlineStr">
        <is>
          <t>要件</t>
        </is>
      </c>
      <c r="C4" s="58" t="inlineStr">
        <is>
          <t>実装</t>
        </is>
      </c>
      <c r="D4" s="58" t="inlineStr">
        <is>
          <t>しきい値</t>
        </is>
      </c>
      <c r="E4" s="58" t="inlineStr">
        <is>
          <t>通知先</t>
        </is>
      </c>
      <c r="F4" s="58" t="inlineStr">
        <is>
          <t>Phase</t>
        </is>
      </c>
    </row>
    <row r="5">
      <c r="A5" s="59" t="inlineStr">
        <is>
          <t>エラー</t>
        </is>
      </c>
      <c r="B5" s="59" t="inlineStr">
        <is>
          <t>Sentry</t>
        </is>
      </c>
      <c r="C5" s="59" t="inlineStr">
        <is>
          <t>フロント+バック</t>
        </is>
      </c>
      <c r="D5" s="59" t="inlineStr">
        <is>
          <t>エラー率&gt;1%/5min</t>
        </is>
      </c>
      <c r="E5" s="59" t="inlineStr">
        <is>
          <t>Slack #alerts</t>
        </is>
      </c>
      <c r="F5" s="59" t="inlineStr">
        <is>
          <t>P1</t>
        </is>
      </c>
    </row>
    <row r="6">
      <c r="A6" s="59" t="inlineStr">
        <is>
          <t>パフォーマンス</t>
        </is>
      </c>
      <c r="B6" s="59" t="inlineStr">
        <is>
          <t>Web Vitals</t>
        </is>
      </c>
      <c r="C6" s="59" t="inlineStr">
        <is>
          <t>RUM</t>
        </is>
      </c>
      <c r="D6" s="59" t="inlineStr">
        <is>
          <t>p75 LCP&gt;2.5s</t>
        </is>
      </c>
      <c r="E6" s="59" t="inlineStr">
        <is>
          <t>Slack</t>
        </is>
      </c>
      <c r="F6" s="59" t="inlineStr">
        <is>
          <t>P2</t>
        </is>
      </c>
    </row>
    <row r="7">
      <c r="A7" s="59" t="inlineStr">
        <is>
          <t>API レイテンシ</t>
        </is>
      </c>
      <c r="B7" s="59" t="inlineStr">
        <is>
          <t>p95&lt;500ms</t>
        </is>
      </c>
      <c r="C7" s="59" t="inlineStr">
        <is>
          <t>APM</t>
        </is>
      </c>
      <c r="D7" s="59" t="inlineStr">
        <is>
          <t>p95&gt;1000ms 5min</t>
        </is>
      </c>
      <c r="E7" s="59" t="inlineStr">
        <is>
          <t>Slack</t>
        </is>
      </c>
      <c r="F7" s="59" t="inlineStr">
        <is>
          <t>P1</t>
        </is>
      </c>
    </row>
    <row r="8">
      <c r="A8" s="59" t="inlineStr">
        <is>
          <t>LLM料金</t>
        </is>
      </c>
      <c r="B8" s="59" t="inlineStr">
        <is>
          <t>日次</t>
        </is>
      </c>
      <c r="C8" s="59" t="inlineStr">
        <is>
          <t>llm_usage_logs</t>
        </is>
      </c>
      <c r="D8" s="59" t="inlineStr">
        <is>
          <t>予算120%</t>
        </is>
      </c>
      <c r="E8" s="59" t="inlineStr">
        <is>
          <t>Slack</t>
        </is>
      </c>
      <c r="F8" s="59" t="inlineStr">
        <is>
          <t>P2</t>
        </is>
      </c>
    </row>
    <row r="9">
      <c r="A9" s="59" t="inlineStr">
        <is>
          <t>queueバックログ</t>
        </is>
      </c>
      <c r="B9" s="59" t="inlineStr">
        <is>
          <t>pgmq</t>
        </is>
      </c>
      <c r="C9" s="59" t="inlineStr">
        <is>
          <t>-</t>
        </is>
      </c>
      <c r="D9" s="59" t="inlineStr">
        <is>
          <t>&gt;1000 30min</t>
        </is>
      </c>
      <c r="E9" s="59" t="inlineStr">
        <is>
          <t>Slack</t>
        </is>
      </c>
      <c r="F9" s="59" t="inlineStr">
        <is>
          <t>P1</t>
        </is>
      </c>
    </row>
    <row r="10">
      <c r="A10" s="59" t="inlineStr">
        <is>
          <t>DLQ</t>
        </is>
      </c>
      <c r="B10" s="59" t="inlineStr">
        <is>
          <t>失敗</t>
        </is>
      </c>
      <c r="C10" s="59" t="inlineStr">
        <is>
          <t>-</t>
        </is>
      </c>
      <c r="D10" s="59" t="inlineStr">
        <is>
          <t>&gt;10件 1h</t>
        </is>
      </c>
      <c r="E10" s="59" t="inlineStr">
        <is>
          <t>Slack/PD</t>
        </is>
      </c>
      <c r="F10" s="59" t="inlineStr">
        <is>
          <t>P1</t>
        </is>
      </c>
    </row>
    <row r="11">
      <c r="A11" s="59" t="inlineStr">
        <is>
          <t>録画処理SLA</t>
        </is>
      </c>
      <c r="B11" s="59" t="inlineStr">
        <is>
          <t>stage1&lt;=5min</t>
        </is>
      </c>
      <c r="C11" s="59" t="inlineStr">
        <is>
          <t>-</t>
        </is>
      </c>
      <c r="D11" s="59" t="inlineStr">
        <is>
          <t>違反率&gt;5%</t>
        </is>
      </c>
      <c r="E11" s="59" t="inlineStr">
        <is>
          <t>Slack</t>
        </is>
      </c>
      <c r="F11" s="59" t="inlineStr">
        <is>
          <t>P1</t>
        </is>
      </c>
    </row>
    <row r="12">
      <c r="A12" s="59" t="inlineStr">
        <is>
          <t>ハルシネーション率</t>
        </is>
      </c>
      <c r="B12" s="59" t="inlineStr">
        <is>
          <t>引用なし回答</t>
        </is>
      </c>
      <c r="C12" s="59" t="inlineStr">
        <is>
          <t>q_hallucination_audit</t>
        </is>
      </c>
      <c r="D12" s="59" t="inlineStr">
        <is>
          <t>&gt;5%/週</t>
        </is>
      </c>
      <c r="E12" s="59" t="inlineStr">
        <is>
          <t>Slack</t>
        </is>
      </c>
      <c r="F12" s="59" t="inlineStr">
        <is>
          <t>P3</t>
        </is>
      </c>
    </row>
    <row r="13">
      <c r="A13" s="59" t="inlineStr">
        <is>
          <t>削除依頼SLA</t>
        </is>
      </c>
      <c r="B13" s="59" t="inlineStr">
        <is>
          <t>30日</t>
        </is>
      </c>
      <c r="C13" s="59" t="inlineStr">
        <is>
          <t>data_deletion_requests</t>
        </is>
      </c>
      <c r="D13" s="59" t="inlineStr">
        <is>
          <t>残3日</t>
        </is>
      </c>
      <c r="E13" s="59" t="inlineStr">
        <is>
          <t>Slack/Email</t>
        </is>
      </c>
      <c r="F13" s="59" t="inlineStr">
        <is>
          <t>P2</t>
        </is>
      </c>
    </row>
    <row r="14">
      <c r="A14" s="59" t="inlineStr">
        <is>
          <t>契約更新</t>
        </is>
      </c>
      <c r="B14" s="59" t="inlineStr">
        <is>
          <t>3ヶ月前</t>
        </is>
      </c>
      <c r="C14" s="59" t="inlineStr">
        <is>
          <t>contract_renewals</t>
        </is>
      </c>
      <c r="D14" s="59" t="inlineStr">
        <is>
          <t>-</t>
        </is>
      </c>
      <c r="E14" s="59" t="inlineStr">
        <is>
          <t>Slack/Push</t>
        </is>
      </c>
      <c r="F14" s="59" t="inlineStr">
        <is>
          <t>P2</t>
        </is>
      </c>
    </row>
    <row r="15">
      <c r="A15" s="59" t="inlineStr">
        <is>
          <t>sync失敗</t>
        </is>
      </c>
      <c r="B15" s="59" t="inlineStr">
        <is>
          <t>ユーザ別</t>
        </is>
      </c>
      <c r="C15" s="59" t="inlineStr">
        <is>
          <t>sync_failure_log</t>
        </is>
      </c>
      <c r="D15" s="59" t="inlineStr">
        <is>
          <t>&gt;5/h</t>
        </is>
      </c>
      <c r="E15" s="59" t="inlineStr">
        <is>
          <t>UI badge+Slack</t>
        </is>
      </c>
      <c r="F15" s="59" t="inlineStr">
        <is>
          <t>P1</t>
        </is>
      </c>
    </row>
    <row r="16">
      <c r="A16" s="59" t="inlineStr">
        <is>
          <t>バックアップ</t>
        </is>
      </c>
      <c r="B16" s="59" t="inlineStr">
        <is>
          <t>PITR健全</t>
        </is>
      </c>
      <c r="C16" s="59" t="inlineStr">
        <is>
          <t>backup_status</t>
        </is>
      </c>
      <c r="D16" s="59" t="inlineStr">
        <is>
          <t>失敗 1回</t>
        </is>
      </c>
      <c r="E16" s="59" t="inlineStr">
        <is>
          <t>Slack/PD</t>
        </is>
      </c>
      <c r="F16" s="59" t="inlineStr">
        <is>
          <t>P2</t>
        </is>
      </c>
    </row>
    <row r="17">
      <c r="A17" s="59" t="inlineStr">
        <is>
          <t>セキュリティ</t>
        </is>
      </c>
      <c r="B17" s="59" t="inlineStr">
        <is>
          <t>異常ログイン</t>
        </is>
      </c>
      <c r="C17" s="59" t="inlineStr">
        <is>
          <t>auth audits</t>
        </is>
      </c>
      <c r="D17" s="59" t="inlineStr">
        <is>
          <t>新IP+admin</t>
        </is>
      </c>
      <c r="E17" s="59" t="inlineStr">
        <is>
          <t>メール</t>
        </is>
      </c>
      <c r="F17" s="59" t="inlineStr">
        <is>
          <t>P1</t>
        </is>
      </c>
    </row>
    <row r="18">
      <c r="A18" s="59" t="inlineStr">
        <is>
          <t>MFA違反</t>
        </is>
      </c>
      <c r="B18" s="59" t="inlineStr">
        <is>
          <t>破壊操作の試行</t>
        </is>
      </c>
      <c r="C18" s="59" t="inlineStr">
        <is>
          <t>-</t>
        </is>
      </c>
      <c r="D18" s="59" t="inlineStr">
        <is>
          <t>1件</t>
        </is>
      </c>
      <c r="E18" s="59" t="inlineStr">
        <is>
          <t>Slack/PD</t>
        </is>
      </c>
      <c r="F18" s="59" t="inlineStr">
        <is>
          <t>P2</t>
        </is>
      </c>
    </row>
    <row r="19">
      <c r="A19" s="59" t="inlineStr">
        <is>
          <t>署名URL大量発行</t>
        </is>
      </c>
      <c r="B19" s="59" t="inlineStr">
        <is>
          <t>異常</t>
        </is>
      </c>
      <c r="C19" s="59" t="inlineStr">
        <is>
          <t>share_links</t>
        </is>
      </c>
      <c r="D19" s="59" t="inlineStr">
        <is>
          <t>30/min</t>
        </is>
      </c>
      <c r="E19" s="59" t="inlineStr">
        <is>
          <t>Slack</t>
        </is>
      </c>
      <c r="F19" s="59" t="inlineStr">
        <is>
          <t>P2</t>
        </is>
      </c>
    </row>
    <row r="20">
      <c r="A20" s="59" t="inlineStr">
        <is>
          <t>A/Bテスト SRM</t>
        </is>
      </c>
      <c r="B20" s="59" t="inlineStr">
        <is>
          <t>割当偏り</t>
        </is>
      </c>
      <c r="C20" s="59" t="inlineStr">
        <is>
          <t>-</t>
        </is>
      </c>
      <c r="D20" s="59" t="inlineStr">
        <is>
          <t>p&lt;0.001</t>
        </is>
      </c>
      <c r="E20" s="59" t="inlineStr">
        <is>
          <t>Slack</t>
        </is>
      </c>
      <c r="F20" s="59" t="inlineStr">
        <is>
          <t>P3</t>
        </is>
      </c>
    </row>
    <row r="21">
      <c r="A21" s="59" t="inlineStr">
        <is>
          <t>FFロールアウト</t>
        </is>
      </c>
      <c r="B21" s="59" t="inlineStr">
        <is>
          <t>エラー率上昇</t>
        </is>
      </c>
      <c r="C21" s="59" t="inlineStr">
        <is>
          <t>-</t>
        </is>
      </c>
      <c r="D21" s="59" t="inlineStr">
        <is>
          <t>FF別+30%</t>
        </is>
      </c>
      <c r="E21" s="59" t="inlineStr">
        <is>
          <t>Slack</t>
        </is>
      </c>
      <c r="F21" s="59" t="inlineStr">
        <is>
          <t>P2</t>
        </is>
      </c>
    </row>
    <row r="22">
      <c r="A22" s="59" t="inlineStr">
        <is>
          <t>業務時間外送信</t>
        </is>
      </c>
      <c r="B22" s="59" t="inlineStr">
        <is>
          <t>異常</t>
        </is>
      </c>
      <c r="C22" s="59" t="inlineStr">
        <is>
          <t>-</t>
        </is>
      </c>
      <c r="D22" s="59" t="inlineStr">
        <is>
          <t>23-7時送信</t>
        </is>
      </c>
      <c r="E22" s="59" t="inlineStr">
        <is>
          <t>本人通知</t>
        </is>
      </c>
      <c r="F22" s="59" t="inlineStr">
        <is>
          <t>P2</t>
        </is>
      </c>
    </row>
    <row r="24">
      <c r="A24" s="41" t="inlineStr">
        <is>
          <t>■ Round1指摘反映で追加観測(v2.1)</t>
        </is>
      </c>
      <c r="B24" s="41" t="n"/>
      <c r="C24" s="41" t="n"/>
      <c r="D24" s="41" t="n"/>
      <c r="E24" s="41" t="n"/>
      <c r="F24" s="41" t="n"/>
    </row>
    <row r="25">
      <c r="A25" s="41" t="inlineStr">
        <is>
          <t>分類</t>
        </is>
      </c>
      <c r="B25" s="41" t="inlineStr">
        <is>
          <t>要件</t>
        </is>
      </c>
      <c r="C25" s="41" t="inlineStr">
        <is>
          <t>実装</t>
        </is>
      </c>
      <c r="D25" s="41" t="inlineStr">
        <is>
          <t>しきい値</t>
        </is>
      </c>
      <c r="E25" s="41" t="inlineStr">
        <is>
          <t>通知先</t>
        </is>
      </c>
      <c r="F25" s="41" t="inlineStr">
        <is>
          <t>Phase</t>
        </is>
      </c>
    </row>
    <row r="26">
      <c r="A26" s="41" t="inlineStr">
        <is>
          <t>LLM rate(T-6)</t>
        </is>
      </c>
      <c r="B26" s="41" t="inlineStr">
        <is>
          <t>Anthropic tokens/sec rate</t>
        </is>
      </c>
      <c r="C26" s="41" t="inlineStr">
        <is>
          <t>Prometheus exporter</t>
        </is>
      </c>
      <c r="D26" s="41" t="inlineStr">
        <is>
          <t>p99&gt;5000tps 1min</t>
        </is>
      </c>
      <c r="E26" s="41" t="inlineStr">
        <is>
          <t>Slack</t>
        </is>
      </c>
      <c r="F26" s="41" t="inlineStr">
        <is>
          <t>P1</t>
        </is>
      </c>
    </row>
    <row r="27">
      <c r="A27" s="41" t="inlineStr">
        <is>
          <t>LLM cost(T-6,M-C6)</t>
        </is>
      </c>
      <c r="B27" s="41" t="inlineStr">
        <is>
          <t>日/時 ¥/h</t>
        </is>
      </c>
      <c r="C27" s="41" t="inlineStr">
        <is>
          <t>Prometheus</t>
        </is>
      </c>
      <c r="D27" s="41" t="inlineStr">
        <is>
          <t>予算150% hard stop</t>
        </is>
      </c>
      <c r="E27" s="41" t="inlineStr">
        <is>
          <t>Slack+kill switch</t>
        </is>
      </c>
      <c r="F27" s="41" t="inlineStr">
        <is>
          <t>P1</t>
        </is>
      </c>
    </row>
    <row r="28">
      <c r="A28" s="41" t="inlineStr">
        <is>
          <t>pgmq visibility(T-6)</t>
        </is>
      </c>
      <c r="B28" s="41" t="inlineStr">
        <is>
          <t>重複実行カウンタ</t>
        </is>
      </c>
      <c r="C28" s="41" t="inlineStr">
        <is>
          <t>内部メトリクス</t>
        </is>
      </c>
      <c r="D28" s="41" t="inlineStr">
        <is>
          <t>重複&gt;0/h</t>
        </is>
      </c>
      <c r="E28" s="41" t="inlineStr">
        <is>
          <t>Slack</t>
        </is>
      </c>
      <c r="F28" s="41" t="inlineStr">
        <is>
          <t>P1</t>
        </is>
      </c>
    </row>
    <row r="29">
      <c r="A29" s="41" t="inlineStr">
        <is>
          <t>Realtime conn(T-6)</t>
        </is>
      </c>
      <c r="B29" s="41" t="inlineStr">
        <is>
          <t>100conn上限</t>
        </is>
      </c>
      <c r="C29" s="41" t="inlineStr">
        <is>
          <t>Supabase metrics</t>
        </is>
      </c>
      <c r="D29" s="41" t="inlineStr">
        <is>
          <t>&gt;80conn</t>
        </is>
      </c>
      <c r="E29" s="41" t="inlineStr">
        <is>
          <t>Slack</t>
        </is>
      </c>
      <c r="F29" s="41" t="inlineStr">
        <is>
          <t>P2</t>
        </is>
      </c>
    </row>
    <row r="30">
      <c r="A30" s="41" t="inlineStr">
        <is>
          <t>pgbouncer(T-6)</t>
        </is>
      </c>
      <c r="B30" s="41" t="inlineStr">
        <is>
          <t>pool枯渇</t>
        </is>
      </c>
      <c r="C30" s="41" t="inlineStr">
        <is>
          <t>metrics</t>
        </is>
      </c>
      <c r="D30" s="41" t="inlineStr">
        <is>
          <t>wait&gt;1s</t>
        </is>
      </c>
      <c r="E30" s="41" t="inlineStr">
        <is>
          <t>Slack</t>
        </is>
      </c>
      <c r="F30" s="41" t="inlineStr">
        <is>
          <t>P1</t>
        </is>
      </c>
    </row>
    <row r="31">
      <c r="A31" s="41" t="inlineStr">
        <is>
          <t>pgvector memory(T-6)</t>
        </is>
      </c>
      <c r="B31" s="41" t="inlineStr">
        <is>
          <t>HNSW</t>
        </is>
      </c>
      <c r="C31" s="41" t="inlineStr">
        <is>
          <t>metrics</t>
        </is>
      </c>
      <c r="D31" s="41" t="inlineStr">
        <is>
          <t>mem&gt;1.5GB</t>
        </is>
      </c>
      <c r="E31" s="41" t="inlineStr">
        <is>
          <t>Slack</t>
        </is>
      </c>
      <c r="F31" s="41" t="inlineStr">
        <is>
          <t>P1</t>
        </is>
      </c>
    </row>
    <row r="32">
      <c r="A32" s="41" t="inlineStr">
        <is>
          <t>Zoom quota(T-6)</t>
        </is>
      </c>
      <c r="B32" s="41" t="inlineStr">
        <is>
          <t>録画DL 80req/sec</t>
        </is>
      </c>
      <c r="C32" s="41" t="inlineStr">
        <is>
          <t>内部counter</t>
        </is>
      </c>
      <c r="D32" s="41" t="inlineStr">
        <is>
          <t>quota 80%</t>
        </is>
      </c>
      <c r="E32" s="41" t="inlineStr">
        <is>
          <t>Slack</t>
        </is>
      </c>
      <c r="F32" s="41" t="inlineStr">
        <is>
          <t>P1</t>
        </is>
      </c>
    </row>
    <row r="33">
      <c r="A33" s="41" t="inlineStr">
        <is>
          <t>Google quota(T-6)</t>
        </is>
      </c>
      <c r="B33" s="41" t="inlineStr">
        <is>
          <t>Calendar 100/100s</t>
        </is>
      </c>
      <c r="C33" s="41" t="inlineStr">
        <is>
          <t>内部counter</t>
        </is>
      </c>
      <c r="D33" s="41" t="inlineStr">
        <is>
          <t>quota 80%</t>
        </is>
      </c>
      <c r="E33" s="41" t="inlineStr">
        <is>
          <t>Slack</t>
        </is>
      </c>
      <c r="F33" s="41" t="inlineStr">
        <is>
          <t>P1</t>
        </is>
      </c>
    </row>
    <row r="34">
      <c r="A34" s="41" t="inlineStr">
        <is>
          <t>audit chain(C-5)</t>
        </is>
      </c>
      <c r="B34" s="41" t="inlineStr">
        <is>
          <t>hash chain破断</t>
        </is>
      </c>
      <c r="C34" s="41" t="inlineStr">
        <is>
          <t>q_audit_chain_verify</t>
        </is>
      </c>
      <c r="D34" s="41" t="inlineStr">
        <is>
          <t>破断1件</t>
        </is>
      </c>
      <c r="E34" s="41" t="inlineStr">
        <is>
          <t>Slack/PD</t>
        </is>
      </c>
      <c r="F34" s="41" t="inlineStr">
        <is>
          <t>P2</t>
        </is>
      </c>
    </row>
    <row r="35">
      <c r="A35" s="41" t="inlineStr">
        <is>
          <t>DR(M-C4)</t>
        </is>
      </c>
      <c r="B35" s="41" t="inlineStr">
        <is>
          <t>ap-northeast-3 bk健全</t>
        </is>
      </c>
      <c r="C35" s="41" t="inlineStr">
        <is>
          <t>metrics</t>
        </is>
      </c>
      <c r="D35" s="41" t="inlineStr">
        <is>
          <t>失敗1回</t>
        </is>
      </c>
      <c r="E35" s="41" t="inlineStr">
        <is>
          <t>Slack/PD</t>
        </is>
      </c>
      <c r="F35" s="41" t="inlineStr">
        <is>
          <t>P2</t>
        </is>
      </c>
    </row>
    <row r="36">
      <c r="A36" s="41" t="inlineStr">
        <is>
          <t>Soft delete期限</t>
        </is>
      </c>
      <c r="B36" s="41" t="inlineStr">
        <is>
          <t>残3日</t>
        </is>
      </c>
      <c r="C36" s="41" t="inlineStr">
        <is>
          <t>metrics</t>
        </is>
      </c>
      <c r="D36" s="41" t="inlineStr">
        <is>
          <t>発生時</t>
        </is>
      </c>
      <c r="E36" s="41" t="inlineStr">
        <is>
          <t>Push+Email</t>
        </is>
      </c>
      <c r="F36" s="41" t="inlineStr">
        <is>
          <t>P2</t>
        </is>
      </c>
    </row>
    <row r="37">
      <c r="A37" s="41" t="inlineStr">
        <is>
          <t>削除依頼SLA</t>
        </is>
      </c>
      <c r="B37" s="41" t="inlineStr">
        <is>
          <t>残3日</t>
        </is>
      </c>
      <c r="C37" s="41" t="inlineStr">
        <is>
          <t>metrics</t>
        </is>
      </c>
      <c r="D37" s="41" t="inlineStr">
        <is>
          <t>発生時</t>
        </is>
      </c>
      <c r="E37" s="41" t="inlineStr">
        <is>
          <t>Slack/Email</t>
        </is>
      </c>
      <c r="F37" s="41" t="inlineStr">
        <is>
          <t>P2</t>
        </is>
      </c>
    </row>
    <row r="38">
      <c r="A38" s="41" t="inlineStr">
        <is>
          <t>ハルシネーション(M-15)</t>
        </is>
      </c>
      <c r="B38" s="41" t="inlineStr">
        <is>
          <t>golden set 95%CI 0-3%</t>
        </is>
      </c>
      <c r="C38" s="41" t="inlineStr">
        <is>
          <t>週次job</t>
        </is>
      </c>
      <c r="D38" s="41" t="inlineStr">
        <is>
          <t>逸脱</t>
        </is>
      </c>
      <c r="E38" s="41" t="inlineStr">
        <is>
          <t>Slack</t>
        </is>
      </c>
      <c r="F38" s="41" t="inlineStr">
        <is>
          <t>P3</t>
        </is>
      </c>
    </row>
    <row r="39">
      <c r="A39" s="41" t="inlineStr">
        <is>
          <t>搬入BR</t>
        </is>
      </c>
      <c r="B39" s="41" t="inlineStr">
        <is>
          <t>退職SOPのblocker</t>
        </is>
      </c>
      <c r="C39" s="41" t="inlineStr">
        <is>
          <t>metrics</t>
        </is>
      </c>
      <c r="D39" s="41" t="inlineStr">
        <is>
          <t>M-Day残作業&gt;0</t>
        </is>
      </c>
      <c r="E39" s="41" t="inlineStr">
        <is>
          <t>Slack</t>
        </is>
      </c>
      <c r="F39" s="41" t="inlineStr">
        <is>
          <t>P2</t>
        </is>
      </c>
    </row>
    <row r="40">
      <c r="A40" s="41" t="inlineStr">
        <is>
          <t>A/B SRM(US-111)</t>
        </is>
      </c>
      <c r="B40" s="41" t="inlineStr">
        <is>
          <t>割当偏り</t>
        </is>
      </c>
      <c r="C40" s="41" t="inlineStr">
        <is>
          <t>scheduled</t>
        </is>
      </c>
      <c r="D40" s="41" t="inlineStr">
        <is>
          <t>p&lt;0.001</t>
        </is>
      </c>
      <c r="E40" s="41" t="inlineStr">
        <is>
          <t>Slack</t>
        </is>
      </c>
      <c r="F40" s="41" t="inlineStr">
        <is>
          <t>P3</t>
        </is>
      </c>
    </row>
    <row r="41">
      <c r="A41" s="41" t="inlineStr">
        <is>
          <t>FF rollout error率(M-C6)</t>
        </is>
      </c>
      <c r="B41" s="41" t="inlineStr">
        <is>
          <t>FF別エラー率</t>
        </is>
      </c>
      <c r="C41" s="41" t="inlineStr">
        <is>
          <t>Sentry tag</t>
        </is>
      </c>
      <c r="D41" s="41" t="inlineStr">
        <is>
          <t>FF別+30%</t>
        </is>
      </c>
      <c r="E41" s="41" t="inlineStr">
        <is>
          <t>Slack</t>
        </is>
      </c>
      <c r="F41" s="41" t="inlineStr">
        <is>
          <t>P2</t>
        </is>
      </c>
    </row>
    <row r="42">
      <c r="A42" s="41" t="inlineStr">
        <is>
          <t>CSPレポート(L-C2)</t>
        </is>
      </c>
      <c r="B42" s="41" t="inlineStr">
        <is>
          <t>report-uri受信</t>
        </is>
      </c>
      <c r="C42" s="41" t="inlineStr">
        <is>
          <t>Sentry</t>
        </is>
      </c>
      <c r="D42" s="41" t="inlineStr">
        <is>
          <t>急増</t>
        </is>
      </c>
      <c r="E42" s="41" t="inlineStr">
        <is>
          <t>Slack</t>
        </is>
      </c>
      <c r="F42" s="41" t="inlineStr">
        <is>
          <t>P2</t>
        </is>
      </c>
    </row>
    <row r="43">
      <c r="A43" s="41" t="inlineStr">
        <is>
          <t>Idempotency conflict(T-5)</t>
        </is>
      </c>
      <c r="B43" s="41" t="inlineStr">
        <is>
          <t>409多発</t>
        </is>
      </c>
      <c r="C43" s="41" t="inlineStr">
        <is>
          <t>metrics</t>
        </is>
      </c>
      <c r="D43" s="41" t="inlineStr">
        <is>
          <t>&gt;10/min</t>
        </is>
      </c>
      <c r="E43" s="41" t="inlineStr">
        <is>
          <t>Slack</t>
        </is>
      </c>
      <c r="F43" s="41" t="inlineStr">
        <is>
          <t>P1</t>
        </is>
      </c>
    </row>
    <row r="45">
      <c r="A45" s="41" t="inlineStr">
        <is>
          <t>■ Round2指摘反映追加(v2.2)</t>
        </is>
      </c>
      <c r="B45" s="41" t="n"/>
      <c r="C45" s="41" t="n"/>
      <c r="D45" s="41" t="n"/>
      <c r="E45" s="41" t="n"/>
      <c r="F45" s="41" t="n"/>
    </row>
    <row r="46">
      <c r="A46" s="41" t="inlineStr">
        <is>
          <t>分類</t>
        </is>
      </c>
      <c r="B46" s="41" t="inlineStr">
        <is>
          <t>要件</t>
        </is>
      </c>
      <c r="C46" s="41" t="inlineStr">
        <is>
          <t>実装</t>
        </is>
      </c>
      <c r="D46" s="41" t="inlineStr">
        <is>
          <t>しきい値</t>
        </is>
      </c>
      <c r="E46" s="41" t="inlineStr">
        <is>
          <t>通知先</t>
        </is>
      </c>
      <c r="F46" s="41" t="inlineStr">
        <is>
          <t>Phase</t>
        </is>
      </c>
    </row>
    <row r="47">
      <c r="A47" s="41" t="inlineStr">
        <is>
          <t>audit chain SLA</t>
        </is>
      </c>
      <c r="B47" s="41" t="inlineStr">
        <is>
          <t>破断検知→通報</t>
        </is>
      </c>
      <c r="C47" s="41" t="inlineStr">
        <is>
          <t>q_audit_chain_verify</t>
        </is>
      </c>
      <c r="D47" s="41" t="inlineStr">
        <is>
          <t>破断検知から15分以内</t>
        </is>
      </c>
      <c r="E47" s="41" t="inlineStr">
        <is>
          <t>Slack/PD+admin email</t>
        </is>
      </c>
      <c r="F47" s="41" t="inlineStr">
        <is>
          <t>P2</t>
        </is>
      </c>
    </row>
    <row r="48">
      <c r="A48" s="41" t="inlineStr">
        <is>
          <t>audit chain修復SLA</t>
        </is>
      </c>
      <c r="B48" s="41" t="inlineStr">
        <is>
          <t>検知→修復着手</t>
        </is>
      </c>
      <c r="C48" s="41" t="inlineStr">
        <is>
          <t>-</t>
        </is>
      </c>
      <c r="D48" s="41" t="inlineStr">
        <is>
          <t>60分以内</t>
        </is>
      </c>
      <c r="E48" s="41" t="inlineStr">
        <is>
          <t>Slack/PD</t>
        </is>
      </c>
      <c r="F48" s="41" t="inlineStr">
        <is>
          <t>P2</t>
        </is>
      </c>
    </row>
    <row r="50">
      <c r="A50" s="41" t="inlineStr">
        <is>
          <t>■ v2.3 追加(実演シミュ反映)</t>
        </is>
      </c>
      <c r="B50" s="41" t="n"/>
      <c r="C50" s="41" t="n"/>
      <c r="D50" s="41" t="n"/>
      <c r="E50" s="41" t="n"/>
      <c r="F50" s="41" t="n"/>
    </row>
    <row r="51">
      <c r="A51" s="41" t="inlineStr">
        <is>
          <t>分類</t>
        </is>
      </c>
      <c r="B51" s="41" t="inlineStr">
        <is>
          <t>要件</t>
        </is>
      </c>
      <c r="C51" s="41" t="inlineStr">
        <is>
          <t>実装</t>
        </is>
      </c>
      <c r="D51" s="41" t="inlineStr">
        <is>
          <t>しきい値</t>
        </is>
      </c>
      <c r="E51" s="41" t="inlineStr">
        <is>
          <t>通知先</t>
        </is>
      </c>
      <c r="F51" s="41" t="inlineStr">
        <is>
          <t>Phase</t>
        </is>
      </c>
    </row>
    <row r="52">
      <c r="A52" s="41" t="inlineStr">
        <is>
          <t>録画停止検知(F-S4-5)</t>
        </is>
      </c>
      <c r="B52" s="41" t="inlineStr">
        <is>
          <t>webhook recording.paused</t>
        </is>
      </c>
      <c r="C52" s="41" t="inlineStr">
        <is>
          <t>Zoom webhook → Push+SMS</t>
        </is>
      </c>
      <c r="D52" s="41" t="inlineStr">
        <is>
          <t>検知から30秒以内</t>
        </is>
      </c>
      <c r="E52" s="41" t="inlineStr">
        <is>
          <t>本人+admin</t>
        </is>
      </c>
      <c r="F52" s="41" t="inlineStr">
        <is>
          <t>P1</t>
        </is>
      </c>
    </row>
    <row r="53">
      <c r="A53" s="41" t="inlineStr">
        <is>
          <t>handoff SLA 48h/72h(F-S9-1)</t>
        </is>
      </c>
      <c r="B53" s="41" t="inlineStr">
        <is>
          <t>違反検出</t>
        </is>
      </c>
      <c r="C53" s="41" t="inlineStr">
        <is>
          <t>q_handoff_sla_check</t>
        </is>
      </c>
      <c r="D53" s="41" t="inlineStr">
        <is>
          <t>48h: 本人+上長cc / 72h: 強制割当</t>
        </is>
      </c>
      <c r="E53" s="41" t="inlineStr">
        <is>
          <t>Slack</t>
        </is>
      </c>
      <c r="F53" s="41" t="inlineStr">
        <is>
          <t>P2</t>
        </is>
      </c>
    </row>
    <row r="54">
      <c r="A54" s="41" t="inlineStr">
        <is>
          <t>behavioral anomaly(F-S8-4)</t>
        </is>
      </c>
      <c r="B54" s="41" t="inlineStr">
        <is>
          <t>本人+上長通知</t>
        </is>
      </c>
      <c r="C54" s="41" t="inlineStr">
        <is>
          <t>q_behavioral_anomaly</t>
        </is>
      </c>
      <c r="D54" s="41" t="inlineStr">
        <is>
          <t>-2σ以上</t>
        </is>
      </c>
      <c r="E54" s="41" t="inlineStr">
        <is>
          <t>Push(本人) +Slack(上長)</t>
        </is>
      </c>
      <c r="F54" s="41" t="inlineStr">
        <is>
          <t>P3</t>
        </is>
      </c>
    </row>
    <row r="55">
      <c r="A55" s="41" t="inlineStr">
        <is>
          <t>audit chain incident SLA(F-S10-3)</t>
        </is>
      </c>
      <c r="B55" s="41" t="inlineStr">
        <is>
          <t>検知15分以内通報</t>
        </is>
      </c>
      <c r="C55" s="41" t="inlineStr">
        <is>
          <t>Slack/PD</t>
        </is>
      </c>
      <c r="D55" s="41" t="inlineStr">
        <is>
          <t>破断1件</t>
        </is>
      </c>
      <c r="E55" s="41" t="inlineStr">
        <is>
          <t>Slack/PD+admin email</t>
        </is>
      </c>
      <c r="F55" s="41" t="inlineStr">
        <is>
          <t>P2</t>
        </is>
      </c>
    </row>
    <row r="56">
      <c r="A56" s="41" t="inlineStr">
        <is>
          <t>コスト top over cap(F-S10-4)</t>
        </is>
      </c>
      <c r="B56" s="41" t="inlineStr">
        <is>
          <t>Top3 over cap自動Slack</t>
        </is>
      </c>
      <c r="C56" s="41" t="inlineStr">
        <is>
          <t>q_cost_actuals_aggregate</t>
        </is>
      </c>
      <c r="D56" s="41" t="inlineStr">
        <is>
          <t>cap 100%超のTop3</t>
        </is>
      </c>
      <c r="E56" s="41" t="inlineStr">
        <is>
          <t>Slack</t>
        </is>
      </c>
      <c r="F56" s="41" t="inlineStr">
        <is>
          <t>P2</t>
        </is>
      </c>
    </row>
    <row r="57">
      <c r="A57" s="41" t="inlineStr">
        <is>
          <t>DR restore audit</t>
        </is>
      </c>
      <c r="B57" s="41" t="inlineStr">
        <is>
          <t>承認/実行ログ</t>
        </is>
      </c>
      <c r="C57" s="41" t="inlineStr">
        <is>
          <t>dangerous_action_audits</t>
        </is>
      </c>
      <c r="D57" s="41" t="inlineStr">
        <is>
          <t>-</t>
        </is>
      </c>
      <c r="E57" s="41" t="inlineStr">
        <is>
          <t>admin email</t>
        </is>
      </c>
      <c r="F57" s="41" t="inlineStr">
        <is>
          <t>P3</t>
        </is>
      </c>
    </row>
    <row r="58">
      <c r="A58" s="41" t="inlineStr">
        <is>
          <t>meeting_brief degraded率</t>
        </is>
      </c>
      <c r="B58" s="41" t="inlineStr">
        <is>
          <t>縮退版で完了の割合</t>
        </is>
      </c>
      <c r="C58" s="41" t="inlineStr">
        <is>
          <t>metrics</t>
        </is>
      </c>
      <c r="D58" s="41" t="inlineStr">
        <is>
          <t>週次&gt;20%でinvestigate</t>
        </is>
      </c>
      <c r="E58" s="41" t="inlineStr">
        <is>
          <t>Slack</t>
        </is>
      </c>
      <c r="F58" s="41" t="inlineStr">
        <is>
          <t>P2</t>
        </is>
      </c>
    </row>
    <row r="59">
      <c r="A59" s="41" t="inlineStr">
        <is>
          <t>partial_artifacts利用率</t>
        </is>
      </c>
      <c r="B59" s="41" t="inlineStr">
        <is>
          <t>stage3未完で部分発行率</t>
        </is>
      </c>
      <c r="C59" s="41" t="inlineStr">
        <is>
          <t>metrics</t>
        </is>
      </c>
      <c r="D59" s="41" t="inlineStr">
        <is>
          <t>-</t>
        </is>
      </c>
      <c r="E59" s="41" t="inlineStr">
        <is>
          <t>ダッシュ</t>
        </is>
      </c>
      <c r="F59" s="41" t="inlineStr">
        <is>
          <t>P2</t>
        </is>
      </c>
    </row>
    <row r="60">
      <c r="A60" s="41" t="inlineStr">
        <is>
          <t>sync success backlog(F-S14-3)</t>
        </is>
      </c>
      <c r="B60" s="41" t="inlineStr">
        <is>
          <t>古いオフラインキューをmonitor</t>
        </is>
      </c>
      <c r="C60" s="41" t="inlineStr">
        <is>
          <t>metrics</t>
        </is>
      </c>
      <c r="D60" s="41" t="inlineStr">
        <is>
          <t>24h超過件数&gt;0</t>
        </is>
      </c>
      <c r="E60" s="41" t="inlineStr">
        <is>
          <t>本人+admin</t>
        </is>
      </c>
      <c r="F60" s="41" t="inlineStr">
        <is>
          <t>P2</t>
        </is>
      </c>
    </row>
    <row r="61">
      <c r="A61" s="41" t="inlineStr">
        <is>
          <t>notification dedup効率(F-UX-4)</t>
        </is>
      </c>
      <c r="B61" s="41" t="inlineStr">
        <is>
          <t>抑制率</t>
        </is>
      </c>
      <c r="C61" s="41" t="inlineStr">
        <is>
          <t>metrics</t>
        </is>
      </c>
      <c r="D61" s="41" t="inlineStr">
        <is>
          <t>抑制率&lt;10%なら設定見直し</t>
        </is>
      </c>
      <c r="E61" s="41" t="inlineStr">
        <is>
          <t>週次レポート</t>
        </is>
      </c>
      <c r="F61" s="41" t="inlineStr">
        <is>
          <t>P2</t>
        </is>
      </c>
    </row>
    <row r="63">
      <c r="A63" s="41" t="inlineStr">
        <is>
          <t>■ v2.4 追加(再シミュ残課題)</t>
        </is>
      </c>
      <c r="B63" s="41" t="n"/>
      <c r="C63" s="41" t="n"/>
      <c r="D63" s="41" t="n"/>
      <c r="E63" s="41" t="n"/>
      <c r="F63" s="41" t="n"/>
    </row>
    <row r="64">
      <c r="A64" s="41" t="inlineStr">
        <is>
          <t>分類</t>
        </is>
      </c>
      <c r="B64" s="41" t="inlineStr">
        <is>
          <t>要件</t>
        </is>
      </c>
      <c r="C64" s="41" t="inlineStr">
        <is>
          <t>実装</t>
        </is>
      </c>
      <c r="D64" s="41" t="inlineStr">
        <is>
          <t>しきい値</t>
        </is>
      </c>
      <c r="E64" s="41" t="inlineStr">
        <is>
          <t>通知先</t>
        </is>
      </c>
      <c r="F64" s="41" t="inlineStr">
        <is>
          <t>Phase</t>
        </is>
      </c>
    </row>
    <row r="65">
      <c r="A65" s="41" t="inlineStr">
        <is>
          <t>pre_consent buffer ロック比率(NF-S4-1)</t>
        </is>
      </c>
      <c r="B65" s="41" t="inlineStr">
        <is>
          <t>verbal時のロック発動率監視</t>
        </is>
      </c>
      <c r="C65" s="41" t="inlineStr">
        <is>
          <t>metrics</t>
        </is>
      </c>
      <c r="D65" s="41" t="inlineStr">
        <is>
          <t>verbal比率&gt;10%でinvestigate</t>
        </is>
      </c>
      <c r="E65" s="41" t="inlineStr">
        <is>
          <t>Slack/legal</t>
        </is>
      </c>
      <c r="F65" s="41" t="inlineStr">
        <is>
          <t>P2</t>
        </is>
      </c>
    </row>
    <row r="66">
      <c r="A66" s="41" t="inlineStr">
        <is>
          <t>taxonomy承認SLA(NF-S9-1)</t>
        </is>
      </c>
      <c r="B66" s="41" t="inlineStr">
        <is>
          <t>法務→情シス承認待機</t>
        </is>
      </c>
      <c r="C66" s="41" t="inlineStr">
        <is>
          <t>metrics</t>
        </is>
      </c>
      <c r="D66" s="41" t="inlineStr">
        <is>
          <t>各48h超過でリマインド</t>
        </is>
      </c>
      <c r="E66" s="41" t="inlineStr">
        <is>
          <t>Slack</t>
        </is>
      </c>
      <c r="F66" s="41" t="inlineStr">
        <is>
          <t>P3</t>
        </is>
      </c>
    </row>
    <row r="67">
      <c r="A67" s="41" t="inlineStr">
        <is>
          <t>AI予測信頼区間(NF-S8-1)</t>
        </is>
      </c>
      <c r="B67" s="41" t="inlineStr">
        <is>
          <t>低信頼ケース監視</t>
        </is>
      </c>
      <c r="C67" s="41" t="inlineStr">
        <is>
          <t>metrics</t>
        </is>
      </c>
      <c r="D67" s="41" t="inlineStr">
        <is>
          <t>&lt;0.6 hit率&gt;30%で再学習</t>
        </is>
      </c>
      <c r="E67" s="41" t="inlineStr">
        <is>
          <t>Slack</t>
        </is>
      </c>
      <c r="F67" s="41" t="inlineStr">
        <is>
          <t>P3</t>
        </is>
      </c>
    </row>
    <row r="68">
      <c r="A68" s="41" t="inlineStr">
        <is>
          <t>翻訳ボリューム(NF-UX-1)</t>
        </is>
      </c>
      <c r="B68" s="41" t="inlineStr">
        <is>
          <t>コスト管理</t>
        </is>
      </c>
      <c r="C68" s="41" t="inlineStr">
        <is>
          <t>metrics</t>
        </is>
      </c>
      <c r="D68" s="41" t="inlineStr">
        <is>
          <t>月次cap</t>
        </is>
      </c>
      <c r="E68" s="41" t="inlineStr">
        <is>
          <t>Slack</t>
        </is>
      </c>
      <c r="F68" s="41" t="inlineStr">
        <is>
          <t>P3</t>
        </is>
      </c>
    </row>
    <row r="69">
      <c r="A69" s="41" t="inlineStr">
        <is>
          <t>DLQ件数(F-S14-4再)</t>
        </is>
      </c>
      <c r="B69" s="41" t="inlineStr">
        <is>
          <t>Zoom historical DLQ</t>
        </is>
      </c>
      <c r="C69" s="41" t="inlineStr">
        <is>
          <t>metrics</t>
        </is>
      </c>
      <c r="D69" s="41" t="inlineStr">
        <is>
          <t>累計&gt;10件で手動レビュー</t>
        </is>
      </c>
      <c r="E69" s="41" t="inlineStr">
        <is>
          <t>Slack</t>
        </is>
      </c>
      <c r="F69" s="41" t="inlineStr">
        <is>
          <t>P3</t>
        </is>
      </c>
    </row>
    <row r="70">
      <c r="A70" s="41" t="inlineStr">
        <is>
          <t>recording_pause本人vsadmin(NF-S4-2)</t>
        </is>
      </c>
      <c r="B70" s="41" t="inlineStr">
        <is>
          <t>SMS送信先分岐確認</t>
        </is>
      </c>
      <c r="C70" s="41" t="inlineStr">
        <is>
          <t>metrics</t>
        </is>
      </c>
      <c r="D70" s="41" t="inlineStr">
        <is>
          <t>誤分岐検知</t>
        </is>
      </c>
      <c r="E70" s="41" t="inlineStr">
        <is>
          <t>Slack</t>
        </is>
      </c>
      <c r="F70" s="41" t="inlineStr">
        <is>
          <t>P1</t>
        </is>
      </c>
    </row>
    <row r="72">
      <c r="A72" s="41" t="inlineStr">
        <is>
          <t>■ v2.5 追加(R3 minor)</t>
        </is>
      </c>
      <c r="B72" s="41" t="n"/>
      <c r="C72" s="41" t="n"/>
      <c r="D72" s="41" t="n"/>
      <c r="E72" s="41" t="n"/>
      <c r="F72" s="41" t="n"/>
    </row>
    <row r="73">
      <c r="A73" s="41" t="inlineStr">
        <is>
          <t>分類</t>
        </is>
      </c>
      <c r="B73" s="41" t="inlineStr">
        <is>
          <t>要件</t>
        </is>
      </c>
      <c r="C73" s="41" t="inlineStr">
        <is>
          <t>実装</t>
        </is>
      </c>
      <c r="D73" s="41" t="inlineStr">
        <is>
          <t>しきい値</t>
        </is>
      </c>
      <c r="E73" s="41" t="inlineStr">
        <is>
          <t>通知先</t>
        </is>
      </c>
      <c r="F73" s="41" t="inlineStr">
        <is>
          <t>Phase</t>
        </is>
      </c>
    </row>
    <row r="74">
      <c r="A74" s="41" t="inlineStr">
        <is>
          <t>review_backlog_per_manager(NF3-S8-1)</t>
        </is>
      </c>
      <c r="B74" s="41" t="inlineStr">
        <is>
          <t>信頼区間&lt;0.4退避の累積</t>
        </is>
      </c>
      <c r="C74" s="41" t="inlineStr">
        <is>
          <t>q_review_backlog_aggregate</t>
        </is>
      </c>
      <c r="D74" s="41" t="inlineStr">
        <is>
          <t>部下平均&gt;3件 or 最古&gt;14日</t>
        </is>
      </c>
      <c r="E74" s="41" t="inlineStr">
        <is>
          <t>週次Slack</t>
        </is>
      </c>
      <c r="F74" s="41" t="inlineStr">
        <is>
          <t>P3</t>
        </is>
      </c>
    </row>
    <row r="75">
      <c r="A75" s="41" t="inlineStr">
        <is>
          <t>人手翻訳SLA(NF3-UX-2)</t>
        </is>
      </c>
      <c r="B75" s="41" t="inlineStr">
        <is>
          <t>5営業日</t>
        </is>
      </c>
      <c r="C75" s="41" t="inlineStr">
        <is>
          <t>q_voice_memo_translate_human</t>
        </is>
      </c>
      <c r="D75" s="41" t="inlineStr">
        <is>
          <t>残2日</t>
        </is>
      </c>
      <c r="E75" s="41" t="inlineStr">
        <is>
          <t>Slack/担当者</t>
        </is>
      </c>
      <c r="F75" s="41" t="inlineStr">
        <is>
          <t>P3</t>
        </is>
      </c>
    </row>
    <row r="76">
      <c r="A76" s="41" t="inlineStr">
        <is>
          <t>DLQ件数 監視(改v2.5)</t>
        </is>
      </c>
      <c r="B76" s="41" t="inlineStr">
        <is>
          <t>SC-126で可視化</t>
        </is>
      </c>
      <c r="C76" s="41" t="inlineStr">
        <is>
          <t>-</t>
        </is>
      </c>
      <c r="D76" s="41" t="inlineStr">
        <is>
          <t>累計&gt;10件で手動レビュー</t>
        </is>
      </c>
      <c r="E76" s="41" t="inlineStr">
        <is>
          <t>Slack+SC-126バッジ</t>
        </is>
      </c>
      <c r="F76" s="41" t="inlineStr">
        <is>
          <t>P3</t>
        </is>
      </c>
    </row>
    <row r="77">
      <c r="A77" s="41" t="inlineStr">
        <is>
          <t>away heuristic 多言語誤検出(NF3-S2-1)</t>
        </is>
      </c>
      <c r="B77" s="41" t="inlineStr">
        <is>
          <t>誤検出率</t>
        </is>
      </c>
      <c r="C77" s="41" t="inlineStr">
        <is>
          <t>metrics</t>
        </is>
      </c>
      <c r="D77" s="41" t="inlineStr">
        <is>
          <t>&gt;5%で再学習</t>
        </is>
      </c>
      <c r="E77" s="41" t="inlineStr">
        <is>
          <t>Slack</t>
        </is>
      </c>
      <c r="F77" s="41" t="inlineStr">
        <is>
          <t>P2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32" customWidth="1" style="28" min="2" max="2"/>
    <col width="35" customWidth="1" style="28" min="3" max="3"/>
    <col width="14" customWidth="1" style="28" min="4" max="4"/>
    <col width="16" customWidth="1" style="28" min="5" max="5"/>
    <col width="6" customWidth="1" style="28" min="6" max="6"/>
  </cols>
  <sheetData>
    <row r="1">
      <c r="A1" s="56" t="inlineStr">
        <is>
          <t>受け入れテストマトリクス</t>
        </is>
      </c>
    </row>
    <row r="2">
      <c r="A2" s="57" t="inlineStr">
        <is>
          <t>シーン×受け入れ条件×自動化レベル</t>
        </is>
      </c>
    </row>
    <row r="4">
      <c r="A4" s="58" t="inlineStr">
        <is>
          <t>シーンID</t>
        </is>
      </c>
      <c r="B4" s="58" t="inlineStr">
        <is>
          <t>シナリオ</t>
        </is>
      </c>
      <c r="C4" s="58" t="inlineStr">
        <is>
          <t>受け入れ条件</t>
        </is>
      </c>
      <c r="D4" s="58" t="inlineStr">
        <is>
          <t>自動化</t>
        </is>
      </c>
      <c r="E4" s="58" t="inlineStr">
        <is>
          <t>対象US</t>
        </is>
      </c>
      <c r="F4" s="58" t="inlineStr">
        <is>
          <t>Phase</t>
        </is>
      </c>
    </row>
    <row r="5">
      <c r="A5" s="59" t="inlineStr">
        <is>
          <t>AT-S1-1</t>
        </is>
      </c>
      <c r="B5" s="59" t="inlineStr">
        <is>
          <t>暗所撮影</t>
        </is>
      </c>
      <c r="C5" s="59" t="inlineStr">
        <is>
          <t>OCR成功率&gt;=90% or 確認UI到達</t>
        </is>
      </c>
      <c r="D5" s="59" t="inlineStr">
        <is>
          <t>Playwright(画像fixture)</t>
        </is>
      </c>
      <c r="E5" s="59" t="inlineStr">
        <is>
          <t>US-21</t>
        </is>
      </c>
      <c r="F5" s="59" t="inlineStr">
        <is>
          <t>P1</t>
        </is>
      </c>
    </row>
    <row r="6">
      <c r="A6" s="59" t="inlineStr">
        <is>
          <t>AT-S1-2</t>
        </is>
      </c>
      <c r="B6" s="59" t="inlineStr">
        <is>
          <t>両面名刺</t>
        </is>
      </c>
      <c r="C6" s="59" t="inlineStr">
        <is>
          <t>表裏が1コンタクトに紐付く</t>
        </is>
      </c>
      <c r="D6" s="59" t="inlineStr">
        <is>
          <t>E2E</t>
        </is>
      </c>
      <c r="E6" s="59" t="inlineStr">
        <is>
          <t>US-22</t>
        </is>
      </c>
      <c r="F6" s="59" t="inlineStr">
        <is>
          <t>P1</t>
        </is>
      </c>
    </row>
    <row r="7">
      <c r="A7" s="59" t="inlineStr">
        <is>
          <t>AT-S1-3</t>
        </is>
      </c>
      <c r="B7" s="59" t="inlineStr">
        <is>
          <t>非名刺混入</t>
        </is>
      </c>
      <c r="C7" s="59" t="inlineStr">
        <is>
          <t>パンフレットが non_card_attachments へ</t>
        </is>
      </c>
      <c r="D7" s="59" t="inlineStr">
        <is>
          <t>unit+E2E</t>
        </is>
      </c>
      <c r="E7" s="59" t="inlineStr">
        <is>
          <t>US-23</t>
        </is>
      </c>
      <c r="F7" s="59" t="inlineStr">
        <is>
          <t>P1</t>
        </is>
      </c>
    </row>
    <row r="8">
      <c r="A8" s="59" t="inlineStr">
        <is>
          <t>AT-S1-4</t>
        </is>
      </c>
      <c r="B8" s="59" t="inlineStr">
        <is>
          <t>オフライン取り込み</t>
        </is>
      </c>
      <c r="C8" s="59" t="inlineStr">
        <is>
          <t>SW+IndexedDB再現</t>
        </is>
      </c>
      <c r="D8" s="59" t="inlineStr">
        <is>
          <t>Playwright offline mode</t>
        </is>
      </c>
      <c r="E8" s="59" t="inlineStr">
        <is>
          <t>US-25</t>
        </is>
      </c>
      <c r="F8" s="59" t="inlineStr">
        <is>
          <t>P1</t>
        </is>
      </c>
    </row>
    <row r="9">
      <c r="A9" s="59" t="inlineStr">
        <is>
          <t>AT-S1-5</t>
        </is>
      </c>
      <c r="B9" s="59" t="inlineStr">
        <is>
          <t>音声メモ</t>
        </is>
      </c>
      <c r="C9" s="59" t="inlineStr">
        <is>
          <t>Whisper結果がmemoに保存</t>
        </is>
      </c>
      <c r="D9" s="59" t="inlineStr">
        <is>
          <t>E2E</t>
        </is>
      </c>
      <c r="E9" s="59" t="inlineStr">
        <is>
          <t>US-26</t>
        </is>
      </c>
      <c r="F9" s="59" t="inlineStr">
        <is>
          <t>P1</t>
        </is>
      </c>
    </row>
    <row r="10">
      <c r="A10" s="59" t="inlineStr">
        <is>
          <t>AT-S1-6</t>
        </is>
      </c>
      <c r="B10" s="59" t="inlineStr">
        <is>
          <t>イベントタグ</t>
        </is>
      </c>
      <c r="C10" s="59" t="inlineStr">
        <is>
          <t>イベント選択時、全件付与</t>
        </is>
      </c>
      <c r="D10" s="59" t="inlineStr">
        <is>
          <t>E2E</t>
        </is>
      </c>
      <c r="E10" s="59" t="inlineStr">
        <is>
          <t>US-27</t>
        </is>
      </c>
      <c r="F10" s="59" t="inlineStr">
        <is>
          <t>P2</t>
        </is>
      </c>
    </row>
    <row r="11">
      <c r="A11" s="59" t="inlineStr">
        <is>
          <t>AT-S2-1</t>
        </is>
      </c>
      <c r="B11" s="59" t="inlineStr">
        <is>
          <t>上司同席合意</t>
        </is>
      </c>
      <c r="C11" s="59" t="inlineStr">
        <is>
          <t>accept前にカレンダー登録されない</t>
        </is>
      </c>
      <c r="D11" s="59" t="inlineStr">
        <is>
          <t>E2E</t>
        </is>
      </c>
      <c r="E11" s="59" t="inlineStr">
        <is>
          <t>US-29</t>
        </is>
      </c>
      <c r="F11" s="59" t="inlineStr">
        <is>
          <t>P2</t>
        </is>
      </c>
    </row>
    <row r="12">
      <c r="A12" s="59" t="inlineStr">
        <is>
          <t>AT-S2-2</t>
        </is>
      </c>
      <c r="B12" s="59" t="inlineStr">
        <is>
          <t>業務時間外排除</t>
        </is>
      </c>
      <c r="C12" s="59" t="inlineStr">
        <is>
          <t>23時の候補が出ない</t>
        </is>
      </c>
      <c r="D12" s="59" t="inlineStr">
        <is>
          <t>unit</t>
        </is>
      </c>
      <c r="E12" s="59" t="inlineStr">
        <is>
          <t>US-30</t>
        </is>
      </c>
      <c r="F12" s="59" t="inlineStr">
        <is>
          <t>P2</t>
        </is>
      </c>
    </row>
    <row r="13">
      <c r="A13" s="59" t="inlineStr">
        <is>
          <t>AT-S2-3</t>
        </is>
      </c>
      <c r="B13" s="59" t="inlineStr">
        <is>
          <t>顧客TZ</t>
        </is>
      </c>
      <c r="C13" s="59" t="inlineStr">
        <is>
          <t>UTC顧客にUTC表記併記</t>
        </is>
      </c>
      <c r="D13" s="59" t="inlineStr">
        <is>
          <t>E2E</t>
        </is>
      </c>
      <c r="E13" s="59" t="inlineStr">
        <is>
          <t>US-31</t>
        </is>
      </c>
      <c r="F13" s="59" t="inlineStr">
        <is>
          <t>P2</t>
        </is>
      </c>
    </row>
    <row r="14">
      <c r="A14" s="59" t="inlineStr">
        <is>
          <t>AT-S2-4</t>
        </is>
      </c>
      <c r="B14" s="59" t="inlineStr">
        <is>
          <t>会議室予約</t>
        </is>
      </c>
      <c r="C14" s="59" t="inlineStr">
        <is>
          <t>onsiteで会議室込み確定</t>
        </is>
      </c>
      <c r="D14" s="59" t="inlineStr">
        <is>
          <t>E2E</t>
        </is>
      </c>
      <c r="E14" s="59" t="inlineStr">
        <is>
          <t>US-32</t>
        </is>
      </c>
      <c r="F14" s="59" t="inlineStr">
        <is>
          <t>P2</t>
        </is>
      </c>
    </row>
    <row r="15">
      <c r="A15" s="59" t="inlineStr">
        <is>
          <t>AT-S2-5</t>
        </is>
      </c>
      <c r="B15" s="59" t="inlineStr">
        <is>
          <t>Calendly風UI</t>
        </is>
      </c>
      <c r="C15" s="59" t="inlineStr">
        <is>
          <t>顧客1クリック確定</t>
        </is>
      </c>
      <c r="D15" s="59" t="inlineStr">
        <is>
          <t>E2E(token)</t>
        </is>
      </c>
      <c r="E15" s="59" t="inlineStr">
        <is>
          <t>US-34</t>
        </is>
      </c>
      <c r="F15" s="59" t="inlineStr">
        <is>
          <t>P2</t>
        </is>
      </c>
    </row>
    <row r="16">
      <c r="A16" s="59" t="inlineStr">
        <is>
          <t>AT-S2-6</t>
        </is>
      </c>
      <c r="B16" s="59" t="inlineStr">
        <is>
          <t>仮押さえ release</t>
        </is>
      </c>
      <c r="C16" s="59" t="inlineStr">
        <is>
          <t>48h無返信→release</t>
        </is>
      </c>
      <c r="D16" s="59" t="inlineStr">
        <is>
          <t>scheduled job test</t>
        </is>
      </c>
      <c r="E16" s="59" t="inlineStr">
        <is>
          <t>US-35</t>
        </is>
      </c>
      <c r="F16" s="59" t="inlineStr">
        <is>
          <t>P2</t>
        </is>
      </c>
    </row>
    <row r="17">
      <c r="A17" s="59" t="inlineStr">
        <is>
          <t>AT-S2-7</t>
        </is>
      </c>
      <c r="B17" s="59" t="inlineStr">
        <is>
          <t>重複アプローチ警告</t>
        </is>
      </c>
      <c r="C17" s="59" t="inlineStr">
        <is>
          <t>他営業既存meetingで警告</t>
        </is>
      </c>
      <c r="D17" s="59" t="inlineStr">
        <is>
          <t>E2E</t>
        </is>
      </c>
      <c r="E17" s="59" t="inlineStr">
        <is>
          <t>US-36</t>
        </is>
      </c>
      <c r="F17" s="59" t="inlineStr">
        <is>
          <t>P2</t>
        </is>
      </c>
    </row>
    <row r="18">
      <c r="A18" s="59" t="inlineStr">
        <is>
          <t>AT-S3-1</t>
        </is>
      </c>
      <c r="B18" s="59" t="inlineStr">
        <is>
          <t>全NG再ドラフト</t>
        </is>
      </c>
      <c r="C18" s="59" t="inlineStr">
        <is>
          <t>auto draft生成</t>
        </is>
      </c>
      <c r="D18" s="59" t="inlineStr">
        <is>
          <t>integration</t>
        </is>
      </c>
      <c r="E18" s="59" t="inlineStr">
        <is>
          <t>US-38</t>
        </is>
      </c>
      <c r="F18" s="59" t="inlineStr">
        <is>
          <t>P2</t>
        </is>
      </c>
    </row>
    <row r="19">
      <c r="A19" s="59" t="inlineStr">
        <is>
          <t>AT-S3-2</t>
        </is>
      </c>
      <c r="B19" s="59" t="inlineStr">
        <is>
          <t>意図分類</t>
        </is>
      </c>
      <c r="C19" s="59" t="inlineStr">
        <is>
          <t>電話希望→電話フロー</t>
        </is>
      </c>
      <c r="D19" s="59" t="inlineStr">
        <is>
          <t>integration</t>
        </is>
      </c>
      <c r="E19" s="59" t="inlineStr">
        <is>
          <t>US-39</t>
        </is>
      </c>
      <c r="F19" s="59" t="inlineStr">
        <is>
          <t>P2</t>
        </is>
      </c>
    </row>
    <row r="20">
      <c r="A20" s="59" t="inlineStr">
        <is>
          <t>AT-S3-3</t>
        </is>
      </c>
      <c r="B20" s="59" t="inlineStr">
        <is>
          <t>CC追加検出</t>
        </is>
      </c>
      <c r="C20" s="59" t="inlineStr">
        <is>
          <t>attendees追加+カレ再送</t>
        </is>
      </c>
      <c r="D20" s="59" t="inlineStr">
        <is>
          <t>E2E</t>
        </is>
      </c>
      <c r="E20" s="59" t="inlineStr">
        <is>
          <t>US-40</t>
        </is>
      </c>
      <c r="F20" s="59" t="inlineStr">
        <is>
          <t>P2</t>
        </is>
      </c>
    </row>
    <row r="21">
      <c r="A21" s="59" t="inlineStr">
        <is>
          <t>AT-S3-4</t>
        </is>
      </c>
      <c r="B21" s="59" t="inlineStr">
        <is>
          <t>別スレッド吸収</t>
        </is>
      </c>
      <c r="C21" s="59" t="inlineStr">
        <is>
          <t>References正規化で同meeting</t>
        </is>
      </c>
      <c r="D21" s="59" t="inlineStr">
        <is>
          <t>integration</t>
        </is>
      </c>
      <c r="E21" s="59" t="inlineStr">
        <is>
          <t>US-42</t>
        </is>
      </c>
      <c r="F21" s="59" t="inlineStr">
        <is>
          <t>P2</t>
        </is>
      </c>
    </row>
    <row r="22">
      <c r="A22" s="59" t="inlineStr">
        <is>
          <t>AT-S3-5</t>
        </is>
      </c>
      <c r="B22" s="59" t="inlineStr">
        <is>
          <t>リスケ</t>
        </is>
      </c>
      <c r="C22" s="59" t="inlineStr">
        <is>
          <t>既存meeting更新+candidate再送</t>
        </is>
      </c>
      <c r="D22" s="59" t="inlineStr">
        <is>
          <t>E2E</t>
        </is>
      </c>
      <c r="E22" s="59" t="inlineStr">
        <is>
          <t>US-43</t>
        </is>
      </c>
      <c r="F22" s="59" t="inlineStr">
        <is>
          <t>P2</t>
        </is>
      </c>
    </row>
    <row r="23">
      <c r="A23" s="59" t="inlineStr">
        <is>
          <t>AT-S4-1</t>
        </is>
      </c>
      <c r="B23" s="59" t="inlineStr">
        <is>
          <t>ブリーフィング</t>
        </is>
      </c>
      <c r="C23" s="59" t="inlineStr">
        <is>
          <t>5分前push到達</t>
        </is>
      </c>
      <c r="D23" s="59" t="inlineStr">
        <is>
          <t>scheduled job</t>
        </is>
      </c>
      <c r="E23" s="59" t="inlineStr">
        <is>
          <t>US-44</t>
        </is>
      </c>
      <c r="F23" s="59" t="inlineStr">
        <is>
          <t>P2</t>
        </is>
      </c>
    </row>
    <row r="24">
      <c r="A24" s="59" t="inlineStr">
        <is>
          <t>AT-S4-2</t>
        </is>
      </c>
      <c r="B24" s="59" t="inlineStr">
        <is>
          <t>Zoom auto-record</t>
        </is>
      </c>
      <c r="C24" s="59" t="inlineStr">
        <is>
          <t>auto_record=cloud設定</t>
        </is>
      </c>
      <c r="D24" s="59" t="inlineStr">
        <is>
          <t>integration</t>
        </is>
      </c>
      <c r="E24" s="59" t="inlineStr">
        <is>
          <t>US-46</t>
        </is>
      </c>
      <c r="F24" s="59" t="inlineStr">
        <is>
          <t>P1</t>
        </is>
      </c>
    </row>
    <row r="25">
      <c r="A25" s="59" t="inlineStr">
        <is>
          <t>AT-S4-3</t>
        </is>
      </c>
      <c r="B25" s="59" t="inlineStr">
        <is>
          <t>商談中検索</t>
        </is>
      </c>
      <c r="C25" s="59" t="inlineStr">
        <is>
          <t>p95&lt;300ms</t>
        </is>
      </c>
      <c r="D25" s="59" t="inlineStr">
        <is>
          <t>perf</t>
        </is>
      </c>
      <c r="E25" s="59" t="inlineStr">
        <is>
          <t>US-49</t>
        </is>
      </c>
      <c r="F25" s="59" t="inlineStr">
        <is>
          <t>P2</t>
        </is>
      </c>
    </row>
    <row r="26">
      <c r="A26" s="59" t="inlineStr">
        <is>
          <t>AT-S5-1</t>
        </is>
      </c>
      <c r="B26" s="59" t="inlineStr">
        <is>
          <t>stage1&lt;=5分</t>
        </is>
      </c>
      <c r="C26" s="59" t="inlineStr">
        <is>
          <t>録画完了→transcript&lt;5min</t>
        </is>
      </c>
      <c r="D26" s="59" t="inlineStr">
        <is>
          <t>SLA test</t>
        </is>
      </c>
      <c r="E26" s="59" t="inlineStr">
        <is>
          <t>US-51</t>
        </is>
      </c>
      <c r="F26" s="59" t="inlineStr">
        <is>
          <t>P1</t>
        </is>
      </c>
    </row>
    <row r="27">
      <c r="A27" s="59" t="inlineStr">
        <is>
          <t>AT-S5-2</t>
        </is>
      </c>
      <c r="B27" s="59" t="inlineStr">
        <is>
          <t>PIIマスキング</t>
        </is>
      </c>
      <c r="C27" s="59" t="inlineStr">
        <is>
          <t>住所/電話/金額がmask</t>
        </is>
      </c>
      <c r="D27" s="59" t="inlineStr">
        <is>
          <t>unit</t>
        </is>
      </c>
      <c r="E27" s="59" t="inlineStr">
        <is>
          <t>US-53</t>
        </is>
      </c>
      <c r="F27" s="59" t="inlineStr">
        <is>
          <t>P2</t>
        </is>
      </c>
    </row>
    <row r="28">
      <c r="A28" s="59" t="inlineStr">
        <is>
          <t>AT-S5-3</t>
        </is>
      </c>
      <c r="B28" s="59" t="inlineStr">
        <is>
          <t>sensitive化</t>
        </is>
      </c>
      <c r="C28" s="59" t="inlineStr">
        <is>
          <t>検索/共有から除外</t>
        </is>
      </c>
      <c r="D28" s="59" t="inlineStr">
        <is>
          <t>integration</t>
        </is>
      </c>
      <c r="E28" s="59" t="inlineStr">
        <is>
          <t>US-54</t>
        </is>
      </c>
      <c r="F28" s="59" t="inlineStr">
        <is>
          <t>P2</t>
        </is>
      </c>
    </row>
    <row r="29">
      <c r="A29" s="59" t="inlineStr">
        <is>
          <t>AT-S5-4</t>
        </is>
      </c>
      <c r="B29" s="59" t="inlineStr">
        <is>
          <t>顧客向け要約</t>
        </is>
      </c>
      <c r="C29" s="59" t="inlineStr">
        <is>
          <t>社内メモ抜きが保証</t>
        </is>
      </c>
      <c r="D29" s="59" t="inlineStr">
        <is>
          <t>integration</t>
        </is>
      </c>
      <c r="E29" s="59" t="inlineStr">
        <is>
          <t>US-55</t>
        </is>
      </c>
      <c r="F29" s="59" t="inlineStr">
        <is>
          <t>P2</t>
        </is>
      </c>
    </row>
    <row r="30">
      <c r="A30" s="59" t="inlineStr">
        <is>
          <t>AT-S6-1</t>
        </is>
      </c>
      <c r="B30" s="59" t="inlineStr">
        <is>
          <t>30秒UX</t>
        </is>
      </c>
      <c r="C30" s="59" t="inlineStr">
        <is>
          <t>顧客名→Top3 &lt;3秒</t>
        </is>
      </c>
      <c r="D30" s="59" t="inlineStr">
        <is>
          <t>perf</t>
        </is>
      </c>
      <c r="E30" s="59" t="inlineStr">
        <is>
          <t>US-56</t>
        </is>
      </c>
      <c r="F30" s="59" t="inlineStr">
        <is>
          <t>P2</t>
        </is>
      </c>
    </row>
    <row r="31">
      <c r="A31" s="59" t="inlineStr">
        <is>
          <t>AT-S6-2</t>
        </is>
      </c>
      <c r="B31" s="59" t="inlineStr">
        <is>
          <t>曖昧時系列</t>
        </is>
      </c>
      <c r="C31" s="59" t="inlineStr">
        <is>
          <t>「2024年4月頃」→ range</t>
        </is>
      </c>
      <c r="D31" s="59" t="inlineStr">
        <is>
          <t>unit</t>
        </is>
      </c>
      <c r="E31" s="59" t="inlineStr">
        <is>
          <t>US-57</t>
        </is>
      </c>
      <c r="F31" s="59" t="inlineStr">
        <is>
          <t>P2</t>
        </is>
      </c>
    </row>
    <row r="32">
      <c r="A32" s="59" t="inlineStr">
        <is>
          <t>AT-S6-3</t>
        </is>
      </c>
      <c r="B32" s="59" t="inlineStr">
        <is>
          <t>クリップ送信</t>
        </is>
      </c>
      <c r="C32" s="59" t="inlineStr">
        <is>
          <t>期限+部分のみ</t>
        </is>
      </c>
      <c r="D32" s="59" t="inlineStr">
        <is>
          <t>E2E</t>
        </is>
      </c>
      <c r="E32" s="59" t="inlineStr">
        <is>
          <t>US-58</t>
        </is>
      </c>
      <c r="F32" s="59" t="inlineStr">
        <is>
          <t>P2</t>
        </is>
      </c>
    </row>
    <row r="33">
      <c r="A33" s="59" t="inlineStr">
        <is>
          <t>AT-S7-1</t>
        </is>
      </c>
      <c r="B33" s="59" t="inlineStr">
        <is>
          <t>シナリオvariants</t>
        </is>
      </c>
      <c r="C33" s="59" t="inlineStr">
        <is>
          <t>乱択+履歴重複回避</t>
        </is>
      </c>
      <c r="D33" s="59" t="inlineStr">
        <is>
          <t>unit</t>
        </is>
      </c>
      <c r="E33" s="59" t="inlineStr">
        <is>
          <t>US-60</t>
        </is>
      </c>
      <c r="F33" s="59" t="inlineStr">
        <is>
          <t>P3</t>
        </is>
      </c>
    </row>
    <row r="34">
      <c r="A34" s="59" t="inlineStr">
        <is>
          <t>AT-S7-2</t>
        </is>
      </c>
      <c r="B34" s="59" t="inlineStr">
        <is>
          <t>時間制限</t>
        </is>
      </c>
      <c r="C34" s="59" t="inlineStr">
        <is>
          <t>制限超で強制終了</t>
        </is>
      </c>
      <c r="D34" s="59" t="inlineStr">
        <is>
          <t>unit</t>
        </is>
      </c>
      <c r="E34" s="59" t="inlineStr">
        <is>
          <t>US-61</t>
        </is>
      </c>
      <c r="F34" s="59" t="inlineStr">
        <is>
          <t>P3</t>
        </is>
      </c>
    </row>
    <row r="35">
      <c r="A35" s="59" t="inlineStr">
        <is>
          <t>AT-S7-3</t>
        </is>
      </c>
      <c r="B35" s="59" t="inlineStr">
        <is>
          <t>降参モード</t>
        </is>
      </c>
      <c r="C35" s="59" t="inlineStr">
        <is>
          <t>Hint返却</t>
        </is>
      </c>
      <c r="D35" s="59" t="inlineStr">
        <is>
          <t>integration</t>
        </is>
      </c>
      <c r="E35" s="59" t="inlineStr">
        <is>
          <t>US-62</t>
        </is>
      </c>
      <c r="F35" s="59" t="inlineStr">
        <is>
          <t>P3</t>
        </is>
      </c>
    </row>
    <row r="36">
      <c r="A36" s="59" t="inlineStr">
        <is>
          <t>AT-S7-4</t>
        </is>
      </c>
      <c r="B36" s="59" t="inlineStr">
        <is>
          <t>失敗パターン</t>
        </is>
      </c>
      <c r="C36" s="59" t="inlineStr">
        <is>
          <t>集計job</t>
        </is>
      </c>
      <c r="D36" s="59" t="inlineStr">
        <is>
          <t>scheduled</t>
        </is>
      </c>
      <c r="E36" s="59" t="inlineStr">
        <is>
          <t>US-64</t>
        </is>
      </c>
      <c r="F36" s="59" t="inlineStr">
        <is>
          <t>P3</t>
        </is>
      </c>
    </row>
    <row r="37">
      <c r="A37" s="59" t="inlineStr">
        <is>
          <t>AT-S8-1</t>
        </is>
      </c>
      <c r="B37" s="59" t="inlineStr">
        <is>
          <t>個人スコア配慮</t>
        </is>
      </c>
      <c r="C37" s="59" t="inlineStr">
        <is>
          <t>集計のみdefault</t>
        </is>
      </c>
      <c r="D37" s="59" t="inlineStr">
        <is>
          <t>RLS test</t>
        </is>
      </c>
      <c r="E37" s="59" t="inlineStr">
        <is>
          <t>US-70</t>
        </is>
      </c>
      <c r="F37" s="59" t="inlineStr">
        <is>
          <t>P3</t>
        </is>
      </c>
    </row>
    <row r="38">
      <c r="A38" s="59" t="inlineStr">
        <is>
          <t>AT-S8-2</t>
        </is>
      </c>
      <c r="B38" s="59" t="inlineStr">
        <is>
          <t>失注分析</t>
        </is>
      </c>
      <c r="C38" s="59" t="inlineStr">
        <is>
          <t>matrix生成</t>
        </is>
      </c>
      <c r="D38" s="59" t="inlineStr">
        <is>
          <t>integration</t>
        </is>
      </c>
      <c r="E38" s="59" t="inlineStr">
        <is>
          <t>US-71</t>
        </is>
      </c>
      <c r="F38" s="59" t="inlineStr">
        <is>
          <t>P3</t>
        </is>
      </c>
    </row>
    <row r="39">
      <c r="A39" s="59" t="inlineStr">
        <is>
          <t>AT-S9-1</t>
        </is>
      </c>
      <c r="B39" s="59" t="inlineStr">
        <is>
          <t>認識ズレ報告</t>
        </is>
      </c>
      <c r="C39" s="59" t="inlineStr">
        <is>
          <t>CS→営業通知</t>
        </is>
      </c>
      <c r="D39" s="59" t="inlineStr">
        <is>
          <t>E2E</t>
        </is>
      </c>
      <c r="E39" s="59" t="inlineStr">
        <is>
          <t>US-72</t>
        </is>
      </c>
      <c r="F39" s="59" t="inlineStr">
        <is>
          <t>P2</t>
        </is>
      </c>
    </row>
    <row r="40">
      <c r="A40" s="59" t="inlineStr">
        <is>
          <t>AT-S9-2</t>
        </is>
      </c>
      <c r="B40" s="59" t="inlineStr">
        <is>
          <t>更新3M前</t>
        </is>
      </c>
      <c r="C40" s="59" t="inlineStr">
        <is>
          <t>cron検出+通知</t>
        </is>
      </c>
      <c r="D40" s="59" t="inlineStr">
        <is>
          <t>scheduled</t>
        </is>
      </c>
      <c r="E40" s="59" t="inlineStr">
        <is>
          <t>US-74</t>
        </is>
      </c>
      <c r="F40" s="59" t="inlineStr">
        <is>
          <t>P2</t>
        </is>
      </c>
    </row>
    <row r="41">
      <c r="A41" s="59" t="inlineStr">
        <is>
          <t>AT-S10-1</t>
        </is>
      </c>
      <c r="B41" s="59" t="inlineStr">
        <is>
          <t>メールundo</t>
        </is>
      </c>
      <c r="C41" s="59" t="inlineStr">
        <is>
          <t>30秒以内cancel</t>
        </is>
      </c>
      <c r="D41" s="59" t="inlineStr">
        <is>
          <t>E2E</t>
        </is>
      </c>
      <c r="E41" s="59" t="inlineStr">
        <is>
          <t>US-76</t>
        </is>
      </c>
      <c r="F41" s="59" t="inlineStr">
        <is>
          <t>P2</t>
        </is>
      </c>
    </row>
    <row r="42">
      <c r="A42" s="59" t="inlineStr">
        <is>
          <t>AT-S10-2</t>
        </is>
      </c>
      <c r="B42" s="59" t="inlineStr">
        <is>
          <t>Soft delete</t>
        </is>
      </c>
      <c r="C42" s="59" t="inlineStr">
        <is>
          <t>30日内restore</t>
        </is>
      </c>
      <c r="D42" s="59" t="inlineStr">
        <is>
          <t>E2E</t>
        </is>
      </c>
      <c r="E42" s="59" t="inlineStr">
        <is>
          <t>US-77</t>
        </is>
      </c>
      <c r="F42" s="59" t="inlineStr">
        <is>
          <t>P2</t>
        </is>
      </c>
    </row>
    <row r="43">
      <c r="A43" s="59" t="inlineStr">
        <is>
          <t>AT-S10-3</t>
        </is>
      </c>
      <c r="B43" s="59" t="inlineStr">
        <is>
          <t>autosave</t>
        </is>
      </c>
      <c r="C43" s="59" t="inlineStr">
        <is>
          <t>通信切→復元</t>
        </is>
      </c>
      <c r="D43" s="59" t="inlineStr">
        <is>
          <t>E2E offline</t>
        </is>
      </c>
      <c r="E43" s="59" t="inlineStr">
        <is>
          <t>US-81</t>
        </is>
      </c>
      <c r="F43" s="59" t="inlineStr">
        <is>
          <t>P1</t>
        </is>
      </c>
    </row>
    <row r="44">
      <c r="A44" s="59" t="inlineStr">
        <is>
          <t>AT-S10-4</t>
        </is>
      </c>
      <c r="B44" s="59" t="inlineStr">
        <is>
          <t>admin大量削除</t>
        </is>
      </c>
      <c r="C44" s="59" t="inlineStr">
        <is>
          <t>reason+MFA+PITR</t>
        </is>
      </c>
      <c r="D44" s="59" t="inlineStr">
        <is>
          <t>E2E+RLS</t>
        </is>
      </c>
      <c r="E44" s="59" t="inlineStr">
        <is>
          <t>US-82</t>
        </is>
      </c>
      <c r="F44" s="59" t="inlineStr">
        <is>
          <t>P2</t>
        </is>
      </c>
    </row>
    <row r="45">
      <c r="A45" s="59" t="inlineStr">
        <is>
          <t>AT-S10-5</t>
        </is>
      </c>
      <c r="B45" s="59" t="inlineStr">
        <is>
          <t>2デバイス衝突</t>
        </is>
      </c>
      <c r="C45" s="59" t="inlineStr">
        <is>
          <t>mergeダイアログ</t>
        </is>
      </c>
      <c r="D45" s="59" t="inlineStr">
        <is>
          <t>E2E</t>
        </is>
      </c>
      <c r="E45" s="59" t="inlineStr">
        <is>
          <t>US-83</t>
        </is>
      </c>
      <c r="F45" s="59" t="inlineStr">
        <is>
          <t>P2</t>
        </is>
      </c>
    </row>
    <row r="46">
      <c r="A46" s="59" t="inlineStr">
        <is>
          <t>AT-S11-1</t>
        </is>
      </c>
      <c r="B46" s="59" t="inlineStr">
        <is>
          <t>録画同意</t>
        </is>
      </c>
      <c r="C46" s="59" t="inlineStr">
        <is>
          <t>不同意→停止</t>
        </is>
      </c>
      <c r="D46" s="59" t="inlineStr">
        <is>
          <t>integration</t>
        </is>
      </c>
      <c r="E46" s="59" t="inlineStr">
        <is>
          <t>US-84</t>
        </is>
      </c>
      <c r="F46" s="59" t="inlineStr">
        <is>
          <t>P2</t>
        </is>
      </c>
    </row>
    <row r="47">
      <c r="A47" s="59" t="inlineStr">
        <is>
          <t>AT-S11-2</t>
        </is>
      </c>
      <c r="B47" s="59" t="inlineStr">
        <is>
          <t>削除依頼</t>
        </is>
      </c>
      <c r="C47" s="59" t="inlineStr">
        <is>
          <t>30日SLA</t>
        </is>
      </c>
      <c r="D47" s="59" t="inlineStr">
        <is>
          <t>scheduled</t>
        </is>
      </c>
      <c r="E47" s="59" t="inlineStr">
        <is>
          <t>US-85</t>
        </is>
      </c>
      <c r="F47" s="59" t="inlineStr">
        <is>
          <t>P2</t>
        </is>
      </c>
    </row>
    <row r="48">
      <c r="A48" s="59" t="inlineStr">
        <is>
          <t>AT-S11-3</t>
        </is>
      </c>
      <c r="B48" s="59" t="inlineStr">
        <is>
          <t>退職者ポリシー</t>
        </is>
      </c>
      <c r="C48" s="59" t="inlineStr">
        <is>
          <t>retain/anonymize/delete実行</t>
        </is>
      </c>
      <c r="D48" s="59" t="inlineStr">
        <is>
          <t>integration</t>
        </is>
      </c>
      <c r="E48" s="59" t="inlineStr">
        <is>
          <t>US-86</t>
        </is>
      </c>
      <c r="F48" s="59" t="inlineStr">
        <is>
          <t>P3</t>
        </is>
      </c>
    </row>
    <row r="49">
      <c r="A49" s="59" t="inlineStr">
        <is>
          <t>AT-S11-4</t>
        </is>
      </c>
      <c r="B49" s="59" t="inlineStr">
        <is>
          <t>データ保管地域</t>
        </is>
      </c>
      <c r="C49" s="59" t="inlineStr">
        <is>
          <t>ap-northeast-1検証</t>
        </is>
      </c>
      <c r="D49" s="59" t="inlineStr">
        <is>
          <t>infra test</t>
        </is>
      </c>
      <c r="E49" s="59" t="inlineStr">
        <is>
          <t>US-88</t>
        </is>
      </c>
      <c r="F49" s="59" t="inlineStr">
        <is>
          <t>P1</t>
        </is>
      </c>
    </row>
    <row r="50">
      <c r="A50" s="59" t="inlineStr">
        <is>
          <t>AT-S12-1</t>
        </is>
      </c>
      <c r="B50" s="59" t="inlineStr">
        <is>
          <t>オンボーディング</t>
        </is>
      </c>
      <c r="C50" s="59" t="inlineStr">
        <is>
          <t>7ステップ完走</t>
        </is>
      </c>
      <c r="D50" s="59" t="inlineStr">
        <is>
          <t>E2E</t>
        </is>
      </c>
      <c r="E50" s="59" t="inlineStr">
        <is>
          <t>US-89</t>
        </is>
      </c>
      <c r="F50" s="59" t="inlineStr">
        <is>
          <t>P1</t>
        </is>
      </c>
    </row>
    <row r="51">
      <c r="A51" s="59" t="inlineStr">
        <is>
          <t>AT-S12-2</t>
        </is>
      </c>
      <c r="B51" s="59" t="inlineStr">
        <is>
          <t>CSV移行</t>
        </is>
      </c>
      <c r="C51" s="59" t="inlineStr">
        <is>
          <t>重複検知マージ</t>
        </is>
      </c>
      <c r="D51" s="59" t="inlineStr">
        <is>
          <t>integration</t>
        </is>
      </c>
      <c r="E51" s="59" t="inlineStr">
        <is>
          <t>US-90</t>
        </is>
      </c>
      <c r="F51" s="59" t="inlineStr">
        <is>
          <t>P2</t>
        </is>
      </c>
    </row>
    <row r="52">
      <c r="A52" s="59" t="inlineStr">
        <is>
          <t>AT-S13-1</t>
        </is>
      </c>
      <c r="B52" s="59" t="inlineStr">
        <is>
          <t>検索ハイブリッド</t>
        </is>
      </c>
      <c r="C52" s="59" t="inlineStr">
        <is>
          <t>NDCG@10&gt;=0.7</t>
        </is>
      </c>
      <c r="D52" s="59" t="inlineStr">
        <is>
          <t>golden set</t>
        </is>
      </c>
      <c r="E52" s="59" t="inlineStr">
        <is>
          <t>US-94</t>
        </is>
      </c>
      <c r="F52" s="59" t="inlineStr">
        <is>
          <t>P1</t>
        </is>
      </c>
    </row>
    <row r="53">
      <c r="A53" s="59" t="inlineStr">
        <is>
          <t>AT-S13-2</t>
        </is>
      </c>
      <c r="B53" s="59" t="inlineStr">
        <is>
          <t>ハルシネーション</t>
        </is>
      </c>
      <c r="C53" s="59" t="inlineStr">
        <is>
          <t>引用なし回答0%</t>
        </is>
      </c>
      <c r="D53" s="59" t="inlineStr">
        <is>
          <t>golden set</t>
        </is>
      </c>
      <c r="E53" s="59" t="inlineStr">
        <is>
          <t>US-96</t>
        </is>
      </c>
      <c r="F53" s="59" t="inlineStr">
        <is>
          <t>P3</t>
        </is>
      </c>
    </row>
    <row r="54">
      <c r="A54" s="59" t="inlineStr">
        <is>
          <t>AT-S13-3</t>
        </is>
      </c>
      <c r="B54" s="59" t="inlineStr">
        <is>
          <t>古い情報</t>
        </is>
      </c>
      <c r="C54" s="59" t="inlineStr">
        <is>
          <t>badge表示</t>
        </is>
      </c>
      <c r="D54" s="59" t="inlineStr">
        <is>
          <t>unit</t>
        </is>
      </c>
      <c r="E54" s="59" t="inlineStr">
        <is>
          <t>US-95</t>
        </is>
      </c>
      <c r="F54" s="59" t="inlineStr">
        <is>
          <t>P2</t>
        </is>
      </c>
    </row>
    <row r="55">
      <c r="A55" s="59" t="inlineStr">
        <is>
          <t>AT-S14-1</t>
        </is>
      </c>
      <c r="B55" s="59" t="inlineStr">
        <is>
          <t>オフライン議事録</t>
        </is>
      </c>
      <c r="C55" s="59" t="inlineStr">
        <is>
          <t>cache hitで表示</t>
        </is>
      </c>
      <c r="D55" s="59" t="inlineStr">
        <is>
          <t>E2E offline</t>
        </is>
      </c>
      <c r="E55" s="59" t="inlineStr">
        <is>
          <t>US-98</t>
        </is>
      </c>
      <c r="F55" s="59" t="inlineStr">
        <is>
          <t>P2</t>
        </is>
      </c>
    </row>
    <row r="56">
      <c r="A56" s="59" t="inlineStr">
        <is>
          <t>AT-S14-2</t>
        </is>
      </c>
      <c r="B56" s="59" t="inlineStr">
        <is>
          <t>音声メモ</t>
        </is>
      </c>
      <c r="C56" s="59" t="inlineStr">
        <is>
          <t>60秒上限</t>
        </is>
      </c>
      <c r="D56" s="59" t="inlineStr">
        <is>
          <t>unit</t>
        </is>
      </c>
      <c r="E56" s="59" t="inlineStr">
        <is>
          <t>US-99</t>
        </is>
      </c>
      <c r="F56" s="59" t="inlineStr">
        <is>
          <t>P2</t>
        </is>
      </c>
    </row>
    <row r="57">
      <c r="A57" s="59" t="inlineStr">
        <is>
          <t>AT-S14-3</t>
        </is>
      </c>
      <c r="B57" s="59" t="inlineStr">
        <is>
          <t>Push通知</t>
        </is>
      </c>
      <c r="C57" s="59" t="inlineStr">
        <is>
          <t>返信受信通知</t>
        </is>
      </c>
      <c r="D57" s="59" t="inlineStr">
        <is>
          <t>integration</t>
        </is>
      </c>
      <c r="E57" s="59" t="inlineStr">
        <is>
          <t>US-100</t>
        </is>
      </c>
      <c r="F57" s="59" t="inlineStr">
        <is>
          <t>P2</t>
        </is>
      </c>
    </row>
    <row r="58">
      <c r="A58" s="59" t="inlineStr">
        <is>
          <t>AT-X-1</t>
        </is>
      </c>
      <c r="B58" s="59" t="inlineStr">
        <is>
          <t>データエクスポート</t>
        </is>
      </c>
      <c r="C58" s="59" t="inlineStr">
        <is>
          <t>暗号化zip生成</t>
        </is>
      </c>
      <c r="D58" s="59" t="inlineStr">
        <is>
          <t>integration</t>
        </is>
      </c>
      <c r="E58" s="59" t="inlineStr">
        <is>
          <t>US-102</t>
        </is>
      </c>
      <c r="F58" s="59" t="inlineStr">
        <is>
          <t>P3</t>
        </is>
      </c>
    </row>
    <row r="59">
      <c r="A59" s="59" t="inlineStr">
        <is>
          <t>AT-X-2</t>
        </is>
      </c>
      <c r="B59" s="59" t="inlineStr">
        <is>
          <t>PITR</t>
        </is>
      </c>
      <c r="C59" s="59" t="inlineStr">
        <is>
          <t>7日前にrollback成功</t>
        </is>
      </c>
      <c r="D59" s="59" t="inlineStr">
        <is>
          <t>DR test</t>
        </is>
      </c>
      <c r="E59" s="59" t="inlineStr">
        <is>
          <t>US-103/82</t>
        </is>
      </c>
      <c r="F59" s="59" t="inlineStr">
        <is>
          <t>P3</t>
        </is>
      </c>
    </row>
    <row r="60">
      <c r="A60" s="59" t="inlineStr">
        <is>
          <t>AT-X-3</t>
        </is>
      </c>
      <c r="B60" s="59" t="inlineStr">
        <is>
          <t>i18n</t>
        </is>
      </c>
      <c r="C60" s="59" t="inlineStr">
        <is>
          <t>share/[token] enで全表示</t>
        </is>
      </c>
      <c r="D60" s="59" t="inlineStr">
        <is>
          <t>E2E</t>
        </is>
      </c>
      <c r="E60" s="59" t="inlineStr">
        <is>
          <t>US-105</t>
        </is>
      </c>
      <c r="F60" s="59" t="inlineStr">
        <is>
          <t>P3</t>
        </is>
      </c>
    </row>
    <row r="61">
      <c r="A61" s="59" t="inlineStr">
        <is>
          <t>AT-X-4</t>
        </is>
      </c>
      <c r="B61" s="59" t="inlineStr">
        <is>
          <t>a11y</t>
        </is>
      </c>
      <c r="C61" s="59" t="inlineStr">
        <is>
          <t>axe 0 critical</t>
        </is>
      </c>
      <c r="D61" s="59" t="inlineStr">
        <is>
          <t>CI gate</t>
        </is>
      </c>
      <c r="E61" s="59" t="inlineStr">
        <is>
          <t>US-106</t>
        </is>
      </c>
      <c r="F61" s="59" t="inlineStr">
        <is>
          <t>P3</t>
        </is>
      </c>
    </row>
    <row r="62">
      <c r="A62" s="59" t="inlineStr">
        <is>
          <t>AT-X-5</t>
        </is>
      </c>
      <c r="B62" s="59" t="inlineStr">
        <is>
          <t>Realtime</t>
        </is>
      </c>
      <c r="C62" s="59" t="inlineStr">
        <is>
          <t>2デバイスで同期</t>
        </is>
      </c>
      <c r="D62" s="59" t="inlineStr">
        <is>
          <t>E2E</t>
        </is>
      </c>
      <c r="E62" s="59" t="inlineStr">
        <is>
          <t>US-108</t>
        </is>
      </c>
      <c r="F62" s="59" t="inlineStr">
        <is>
          <t>P2</t>
        </is>
      </c>
    </row>
    <row r="63">
      <c r="A63" s="59" t="inlineStr">
        <is>
          <t>AT-X-6</t>
        </is>
      </c>
      <c r="B63" s="59" t="inlineStr">
        <is>
          <t>FF rollout</t>
        </is>
      </c>
      <c r="C63" s="59" t="inlineStr">
        <is>
          <t>percentage反映</t>
        </is>
      </c>
      <c r="D63" s="59" t="inlineStr">
        <is>
          <t>integration</t>
        </is>
      </c>
      <c r="E63" s="59" t="inlineStr">
        <is>
          <t>US-110</t>
        </is>
      </c>
      <c r="F63" s="59" t="inlineStr">
        <is>
          <t>P2</t>
        </is>
      </c>
    </row>
    <row r="64">
      <c r="A64" s="59" t="inlineStr">
        <is>
          <t>AT-X-7</t>
        </is>
      </c>
      <c r="B64" s="59" t="inlineStr">
        <is>
          <t>A/B SRM</t>
        </is>
      </c>
      <c r="C64" s="59" t="inlineStr">
        <is>
          <t>割当の偏り検出</t>
        </is>
      </c>
      <c r="D64" s="59" t="inlineStr">
        <is>
          <t>scheduled</t>
        </is>
      </c>
      <c r="E64" s="59" t="inlineStr">
        <is>
          <t>US-111</t>
        </is>
      </c>
      <c r="F64" s="59" t="inlineStr">
        <is>
          <t>P3</t>
        </is>
      </c>
    </row>
    <row r="66">
      <c r="A66" s="41" t="inlineStr">
        <is>
          <t>■ Round1指摘反映追加(v2.1)</t>
        </is>
      </c>
      <c r="B66" s="41" t="n"/>
      <c r="C66" s="41" t="n"/>
      <c r="D66" s="41" t="n"/>
      <c r="E66" s="41" t="n"/>
      <c r="F66" s="41" t="n"/>
    </row>
    <row r="67">
      <c r="A67" s="41" t="inlineStr">
        <is>
          <t>シーンID</t>
        </is>
      </c>
      <c r="B67" s="41" t="inlineStr">
        <is>
          <t>シナリオ</t>
        </is>
      </c>
      <c r="C67" s="41" t="inlineStr">
        <is>
          <t>受け入れ条件</t>
        </is>
      </c>
      <c r="D67" s="41" t="inlineStr">
        <is>
          <t>自動化</t>
        </is>
      </c>
      <c r="E67" s="41" t="inlineStr">
        <is>
          <t>対象US</t>
        </is>
      </c>
      <c r="F67" s="41" t="inlineStr">
        <is>
          <t>Phase</t>
        </is>
      </c>
    </row>
    <row r="68">
      <c r="A68" s="41" t="inlineStr">
        <is>
          <t>AT-RLS-1</t>
        </is>
      </c>
      <c r="B68" s="41" t="inlineStr">
        <is>
          <t>org_id分離</t>
        </is>
      </c>
      <c r="C68" s="41" t="inlineStr">
        <is>
          <t>他org行が見えない</t>
        </is>
      </c>
      <c r="D68" s="41" t="inlineStr">
        <is>
          <t>pgTAP</t>
        </is>
      </c>
      <c r="E68" s="41" t="inlineStr">
        <is>
          <t>T-1</t>
        </is>
      </c>
      <c r="F68" s="41" t="inlineStr">
        <is>
          <t>P1</t>
        </is>
      </c>
    </row>
    <row r="69">
      <c r="A69" s="41" t="inlineStr">
        <is>
          <t>AT-RLS-2</t>
        </is>
      </c>
      <c r="B69" s="41" t="inlineStr">
        <is>
          <t>sensitivity tier</t>
        </is>
      </c>
      <c r="C69" s="41" t="inlineStr">
        <is>
          <t>sensitive=owner+admin+legalのみ</t>
        </is>
      </c>
      <c r="D69" s="41" t="inlineStr">
        <is>
          <t>pgTAP</t>
        </is>
      </c>
      <c r="E69" s="41" t="inlineStr">
        <is>
          <t>M-C3</t>
        </is>
      </c>
      <c r="F69" s="41" t="inlineStr">
        <is>
          <t>P1</t>
        </is>
      </c>
    </row>
    <row r="70">
      <c r="A70" s="41" t="inlineStr">
        <is>
          <t>AT-RLS-3</t>
        </is>
      </c>
      <c r="B70" s="41" t="inlineStr">
        <is>
          <t>embeddings RPC</t>
        </is>
      </c>
      <c r="C70" s="41" t="inlineStr">
        <is>
          <t>他org/他sensitivity非表示</t>
        </is>
      </c>
      <c r="D70" s="41" t="inlineStr">
        <is>
          <t>pgTAP</t>
        </is>
      </c>
      <c r="E70" s="41" t="inlineStr">
        <is>
          <t>T-2</t>
        </is>
      </c>
      <c r="F70" s="41" t="inlineStr">
        <is>
          <t>P1</t>
        </is>
      </c>
    </row>
    <row r="71">
      <c r="A71" s="41" t="inlineStr">
        <is>
          <t>AT-DLQ-1</t>
        </is>
      </c>
      <c r="B71" s="41" t="inlineStr">
        <is>
          <t>DLQ復元</t>
        </is>
      </c>
      <c r="C71" s="41" t="inlineStr">
        <is>
          <t>失敗→DLQ→手動resume成功</t>
        </is>
      </c>
      <c r="D71" s="41" t="inlineStr">
        <is>
          <t>integration</t>
        </is>
      </c>
      <c r="E71" s="41" t="inlineStr">
        <is>
          <t>M-14</t>
        </is>
      </c>
      <c r="F71" s="41" t="inlineStr">
        <is>
          <t>P1</t>
        </is>
      </c>
    </row>
    <row r="72">
      <c r="A72" s="41" t="inlineStr">
        <is>
          <t>AT-LLM-Schema-1</t>
        </is>
      </c>
      <c r="B72" s="41" t="inlineStr">
        <is>
          <t>JSON出力崩壊</t>
        </is>
      </c>
      <c r="C72" s="41" t="inlineStr">
        <is>
          <t>tool_use+zodで100%パス、失敗時1再生成</t>
        </is>
      </c>
      <c r="D72" s="41" t="inlineStr">
        <is>
          <t>unit</t>
        </is>
      </c>
      <c r="E72" s="41" t="inlineStr">
        <is>
          <t>M-8</t>
        </is>
      </c>
      <c r="F72" s="41" t="inlineStr">
        <is>
          <t>P1</t>
        </is>
      </c>
    </row>
    <row r="73">
      <c r="A73" s="41" t="inlineStr">
        <is>
          <t>AT-LLM-Schema-2</t>
        </is>
      </c>
      <c r="B73" s="41" t="inlineStr">
        <is>
          <t>cost cap</t>
        </is>
      </c>
      <c r="C73" s="41" t="inlineStr">
        <is>
          <t>$0.10超で拒否</t>
        </is>
      </c>
      <c r="D73" s="41" t="inlineStr">
        <is>
          <t>unit</t>
        </is>
      </c>
      <c r="E73" s="41" t="inlineStr">
        <is>
          <t>M-9</t>
        </is>
      </c>
      <c r="F73" s="41" t="inlineStr">
        <is>
          <t>P2</t>
        </is>
      </c>
    </row>
    <row r="74">
      <c r="A74" s="41" t="inlineStr">
        <is>
          <t>AT-Idem-1</t>
        </is>
      </c>
      <c r="B74" s="41" t="inlineStr">
        <is>
          <t>二重送信</t>
        </is>
      </c>
      <c r="C74" s="41" t="inlineStr">
        <is>
          <t>同key同hash→再生、同key別hash→409</t>
        </is>
      </c>
      <c r="D74" s="41" t="inlineStr">
        <is>
          <t>integration</t>
        </is>
      </c>
      <c r="E74" s="41" t="inlineStr">
        <is>
          <t>T-5</t>
        </is>
      </c>
      <c r="F74" s="41" t="inlineStr">
        <is>
          <t>P1</t>
        </is>
      </c>
    </row>
    <row r="75">
      <c r="A75" s="41" t="inlineStr">
        <is>
          <t>AT-Idem-2</t>
        </is>
      </c>
      <c r="B75" s="41" t="inlineStr">
        <is>
          <t>Webhook二重</t>
        </is>
      </c>
      <c r="C75" s="41" t="inlineStr">
        <is>
          <t>同zoom_event2回→1record/1job</t>
        </is>
      </c>
      <c r="D75" s="41" t="inlineStr">
        <is>
          <t>integration</t>
        </is>
      </c>
      <c r="E75" s="41" t="inlineStr">
        <is>
          <t>T-3</t>
        </is>
      </c>
      <c r="F75" s="41" t="inlineStr">
        <is>
          <t>P1</t>
        </is>
      </c>
    </row>
    <row r="76">
      <c r="A76" s="41" t="inlineStr">
        <is>
          <t>AT-OCC-1</t>
        </is>
      </c>
      <c r="B76" s="41" t="inlineStr">
        <is>
          <t>楽観ロック</t>
        </is>
      </c>
      <c r="C76" s="41" t="inlineStr">
        <is>
          <t>2デバイスUPDATEで2回目409</t>
        </is>
      </c>
      <c r="D76" s="41" t="inlineStr">
        <is>
          <t>E2E</t>
        </is>
      </c>
      <c r="E76" s="41" t="inlineStr">
        <is>
          <t>T-7</t>
        </is>
      </c>
      <c r="F76" s="41" t="inlineStr">
        <is>
          <t>P2</t>
        </is>
      </c>
    </row>
    <row r="77">
      <c r="A77" s="41" t="inlineStr">
        <is>
          <t>AT-Audit-1</t>
        </is>
      </c>
      <c r="B77" s="41" t="inlineStr">
        <is>
          <t>hash chain</t>
        </is>
      </c>
      <c r="C77" s="41" t="inlineStr">
        <is>
          <t>破断検出</t>
        </is>
      </c>
      <c r="D77" s="41" t="inlineStr">
        <is>
          <t>scheduled</t>
        </is>
      </c>
      <c r="E77" s="41" t="inlineStr">
        <is>
          <t>C-5</t>
        </is>
      </c>
      <c r="F77" s="41" t="inlineStr">
        <is>
          <t>P2</t>
        </is>
      </c>
    </row>
    <row r="78">
      <c r="A78" s="41" t="inlineStr">
        <is>
          <t>AT-Audit-2</t>
        </is>
      </c>
      <c r="B78" s="41" t="inlineStr">
        <is>
          <t>WORM export</t>
        </is>
      </c>
      <c r="C78" s="41" t="inlineStr">
        <is>
          <t>R2 Object Lock</t>
        </is>
      </c>
      <c r="D78" s="41" t="inlineStr">
        <is>
          <t>integration</t>
        </is>
      </c>
      <c r="E78" s="41" t="inlineStr">
        <is>
          <t>C-5</t>
        </is>
      </c>
      <c r="F78" s="41" t="inlineStr">
        <is>
          <t>P2</t>
        </is>
      </c>
    </row>
    <row r="79">
      <c r="A79" s="41" t="inlineStr">
        <is>
          <t>AT-Compl-1</t>
        </is>
      </c>
      <c r="B79" s="41" t="inlineStr">
        <is>
          <t>per-attendee consent</t>
        </is>
      </c>
      <c r="C79" s="41" t="inlineStr">
        <is>
          <t>途中参加未同意→該当発話redact</t>
        </is>
      </c>
      <c r="D79" s="41" t="inlineStr">
        <is>
          <t>integration</t>
        </is>
      </c>
      <c r="E79" s="41" t="inlineStr">
        <is>
          <t>C-1,G-2</t>
        </is>
      </c>
      <c r="F79" s="41" t="inlineStr">
        <is>
          <t>P2</t>
        </is>
      </c>
    </row>
    <row r="80">
      <c r="A80" s="41" t="inlineStr">
        <is>
          <t>AT-Compl-2</t>
        </is>
      </c>
      <c r="B80" s="41" t="inlineStr">
        <is>
          <t>削除依頼下流伝播</t>
        </is>
      </c>
      <c r="C80" s="41" t="inlineStr">
        <is>
          <t>R2/Anthropic/OpenAI/PITRに伝播</t>
        </is>
      </c>
      <c r="D80" s="41" t="inlineStr">
        <is>
          <t>integration</t>
        </is>
      </c>
      <c r="E80" s="41" t="inlineStr">
        <is>
          <t>C-3</t>
        </is>
      </c>
      <c r="F80" s="41" t="inlineStr">
        <is>
          <t>P2</t>
        </is>
      </c>
    </row>
    <row r="81">
      <c r="A81" s="41" t="inlineStr">
        <is>
          <t>AT-Compl-3</t>
        </is>
      </c>
      <c r="B81" s="41" t="inlineStr">
        <is>
          <t>退職SOP</t>
        </is>
      </c>
      <c r="C81" s="41" t="inlineStr">
        <is>
          <t>SOP M-Day〜M+60走破</t>
        </is>
      </c>
      <c r="D81" s="41" t="inlineStr">
        <is>
          <t>integration</t>
        </is>
      </c>
      <c r="E81" s="41" t="inlineStr">
        <is>
          <t>C-6</t>
        </is>
      </c>
      <c r="F81" s="41" t="inlineStr">
        <is>
          <t>P2</t>
        </is>
      </c>
    </row>
    <row r="82">
      <c r="A82" s="41" t="inlineStr">
        <is>
          <t>AT-Share-1</t>
        </is>
      </c>
      <c r="B82" s="41" t="inlineStr">
        <is>
          <t>internal除外</t>
        </is>
      </c>
      <c r="C82" s="41" t="inlineStr">
        <is>
          <t>共有時internal/sensitive 0件</t>
        </is>
      </c>
      <c r="D82" s="41" t="inlineStr">
        <is>
          <t>integration</t>
        </is>
      </c>
      <c r="E82" s="41" t="inlineStr">
        <is>
          <t>G-3</t>
        </is>
      </c>
      <c r="F82" s="41" t="inlineStr">
        <is>
          <t>P2</t>
        </is>
      </c>
    </row>
    <row r="83">
      <c r="A83" s="41" t="inlineStr">
        <is>
          <t>AT-DR-1</t>
        </is>
      </c>
      <c r="B83" s="41" t="inlineStr">
        <is>
          <t>DR restore</t>
        </is>
      </c>
      <c r="C83" s="41" t="inlineStr">
        <is>
          <t>ap-northeast-3から復旧</t>
        </is>
      </c>
      <c r="D83" s="41" t="inlineStr">
        <is>
          <t>DR test</t>
        </is>
      </c>
      <c r="E83" s="41" t="inlineStr">
        <is>
          <t>M-C4</t>
        </is>
      </c>
      <c r="F83" s="41" t="inlineStr">
        <is>
          <t>P2</t>
        </is>
      </c>
    </row>
    <row r="84">
      <c r="A84" s="41" t="inlineStr">
        <is>
          <t>AT-Cost-1</t>
        </is>
      </c>
      <c r="B84" s="41" t="inlineStr">
        <is>
          <t>LLM kill switch</t>
        </is>
      </c>
      <c r="C84" s="41" t="inlineStr">
        <is>
          <t>予算150%でAPI停止</t>
        </is>
      </c>
      <c r="D84" s="41" t="inlineStr">
        <is>
          <t>integration</t>
        </is>
      </c>
      <c r="E84" s="41" t="inlineStr">
        <is>
          <t>M-C6</t>
        </is>
      </c>
      <c r="F84" s="41" t="inlineStr">
        <is>
          <t>P1</t>
        </is>
      </c>
    </row>
    <row r="85">
      <c r="A85" s="41" t="inlineStr">
        <is>
          <t>AT-CTI-1</t>
        </is>
      </c>
      <c r="B85" s="41" t="inlineStr">
        <is>
          <t>CTI matched</t>
        </is>
      </c>
      <c r="C85" s="41" t="inlineStr">
        <is>
          <t>caller_phone→customer auto-pick</t>
        </is>
      </c>
      <c r="D85" s="41" t="inlineStr">
        <is>
          <t>integration</t>
        </is>
      </c>
      <c r="E85" s="41" t="inlineStr">
        <is>
          <t>G-1</t>
        </is>
      </c>
      <c r="F85" s="41" t="inlineStr">
        <is>
          <t>P3</t>
        </is>
      </c>
    </row>
    <row r="86">
      <c r="A86" s="41" t="inlineStr">
        <is>
          <t>AT-Voice-1</t>
        </is>
      </c>
      <c r="B86" s="41" t="inlineStr">
        <is>
          <t>録音中断</t>
        </is>
      </c>
      <c r="C86" s="41" t="inlineStr">
        <is>
          <t>電話着信→部分保存→再開</t>
        </is>
      </c>
      <c r="D86" s="41" t="inlineStr">
        <is>
          <t>E2E</t>
        </is>
      </c>
      <c r="E86" s="41" t="inlineStr">
        <is>
          <t>G-4</t>
        </is>
      </c>
      <c r="F86" s="41" t="inlineStr">
        <is>
          <t>P2</t>
        </is>
      </c>
    </row>
    <row r="87">
      <c r="A87" s="41" t="inlineStr">
        <is>
          <t>AT-Soft-1</t>
        </is>
      </c>
      <c r="B87" s="41" t="inlineStr">
        <is>
          <t>期限通知</t>
        </is>
      </c>
      <c r="C87" s="41" t="inlineStr">
        <is>
          <t>7日前/1日前push受信</t>
        </is>
      </c>
      <c r="D87" s="41" t="inlineStr">
        <is>
          <t>scheduled</t>
        </is>
      </c>
      <c r="E87" s="41" t="inlineStr">
        <is>
          <t>G-6</t>
        </is>
      </c>
      <c r="F87" s="41" t="inlineStr">
        <is>
          <t>P2</t>
        </is>
      </c>
    </row>
    <row r="88">
      <c r="A88" s="41" t="inlineStr">
        <is>
          <t>AT-SW-1</t>
        </is>
      </c>
      <c r="B88" s="41" t="inlineStr">
        <is>
          <t>SW更新整合</t>
        </is>
      </c>
      <c r="C88" s="41" t="inlineStr">
        <is>
          <t>skipWaiting時の旧キャッシュ整合</t>
        </is>
      </c>
      <c r="D88" s="41" t="inlineStr">
        <is>
          <t>E2E</t>
        </is>
      </c>
      <c r="E88" s="41" t="inlineStr">
        <is>
          <t>L-5</t>
        </is>
      </c>
      <c r="F88" s="41" t="inlineStr">
        <is>
          <t>P2</t>
        </is>
      </c>
    </row>
    <row r="89">
      <c r="A89" s="41" t="inlineStr">
        <is>
          <t>AT-Tour-1</t>
        </is>
      </c>
      <c r="B89" s="41" t="inlineStr">
        <is>
          <t>habit-loop</t>
        </is>
      </c>
      <c r="C89" s="41" t="inlineStr">
        <is>
          <t>初週KPI未達alert</t>
        </is>
      </c>
      <c r="D89" s="41" t="inlineStr">
        <is>
          <t>scheduled</t>
        </is>
      </c>
      <c r="E89" s="41" t="inlineStr">
        <is>
          <t>G-13</t>
        </is>
      </c>
      <c r="F89" s="41" t="inlineStr">
        <is>
          <t>P3</t>
        </is>
      </c>
    </row>
    <row r="91">
      <c r="A91" s="41" t="inlineStr">
        <is>
          <t>■ v2.3 追加(実演シミュ反映)</t>
        </is>
      </c>
      <c r="B91" s="41" t="n"/>
      <c r="C91" s="41" t="n"/>
      <c r="D91" s="41" t="n"/>
      <c r="E91" s="41" t="n"/>
      <c r="F91" s="41" t="n"/>
    </row>
    <row r="92">
      <c r="A92" s="41" t="inlineStr">
        <is>
          <t>シーンID</t>
        </is>
      </c>
      <c r="B92" s="41" t="inlineStr">
        <is>
          <t>シナリオ</t>
        </is>
      </c>
      <c r="C92" s="41" t="inlineStr">
        <is>
          <t>受け入れ条件</t>
        </is>
      </c>
      <c r="D92" s="41" t="inlineStr">
        <is>
          <t>自動化</t>
        </is>
      </c>
      <c r="E92" s="41" t="inlineStr">
        <is>
          <t>対象US</t>
        </is>
      </c>
      <c r="F92" s="41" t="inlineStr">
        <is>
          <t>Phase</t>
        </is>
      </c>
    </row>
    <row r="93">
      <c r="A93" s="41" t="inlineStr">
        <is>
          <t>AT-S1-Shake</t>
        </is>
      </c>
      <c r="B93" s="41" t="inlineStr">
        <is>
          <t>揺れ撮影</t>
        </is>
      </c>
      <c r="C93" s="41" t="inlineStr">
        <is>
          <t>fallback_capture_mode 3秒→1秒静止緩和+volume button shutter動作</t>
        </is>
      </c>
      <c r="D93" s="41" t="inlineStr">
        <is>
          <t>E2E(モバイルエミュ)</t>
        </is>
      </c>
      <c r="E93" s="41" t="inlineStr">
        <is>
          <t>F-S1-1</t>
        </is>
      </c>
      <c r="F93" s="41" t="inlineStr">
        <is>
          <t>P1</t>
        </is>
      </c>
    </row>
    <row r="94">
      <c r="A94" s="41" t="inlineStr">
        <is>
          <t>AT-S1-Defer</t>
        </is>
      </c>
      <c r="B94" s="41" t="inlineStr">
        <is>
          <t>低信頼度名刺</t>
        </is>
      </c>
      <c r="C94" s="41" t="inlineStr">
        <is>
          <t>status='deferred_review'で次撮影に進める</t>
        </is>
      </c>
      <c r="D94" s="41" t="inlineStr">
        <is>
          <t>integration</t>
        </is>
      </c>
      <c r="E94" s="41" t="inlineStr">
        <is>
          <t>F-S1-2</t>
        </is>
      </c>
      <c r="F94" s="41" t="inlineStr">
        <is>
          <t>P1</t>
        </is>
      </c>
    </row>
    <row r="95">
      <c r="A95" s="41" t="inlineStr">
        <is>
          <t>AT-S1-EventLate</t>
        </is>
      </c>
      <c r="B95" s="41" t="inlineStr">
        <is>
          <t>取込中イベント切替</t>
        </is>
      </c>
      <c r="C95" s="41" t="inlineStr">
        <is>
          <t>BulkActions+ヘッダーチップで一括付与可</t>
        </is>
      </c>
      <c r="D95" s="41" t="inlineStr">
        <is>
          <t>E2E</t>
        </is>
      </c>
      <c r="E95" s="41" t="inlineStr">
        <is>
          <t>F-S1-3</t>
        </is>
      </c>
      <c r="F95" s="41" t="inlineStr">
        <is>
          <t>P1</t>
        </is>
      </c>
    </row>
    <row r="96">
      <c r="A96" s="41" t="inlineStr">
        <is>
          <t>AT-S2-DynTimeout</t>
        </is>
      </c>
      <c r="B96" s="41" t="inlineStr">
        <is>
          <t>上司invite dynamic timeout</t>
        </is>
      </c>
      <c r="C96" s="41" t="inlineStr">
        <is>
          <t>出張中=24h, 通常=4h</t>
        </is>
      </c>
      <c r="D96" s="41" t="inlineStr">
        <is>
          <t>integration</t>
        </is>
      </c>
      <c r="E96" s="41" t="inlineStr">
        <is>
          <t>F-S2-1</t>
        </is>
      </c>
      <c r="F96" s="41" t="inlineStr">
        <is>
          <t>P2</t>
        </is>
      </c>
    </row>
    <row r="97">
      <c r="A97" s="41" t="inlineStr">
        <is>
          <t>AT-S2-Hold</t>
        </is>
      </c>
      <c r="B97" s="41" t="inlineStr">
        <is>
          <t>calendar_holds透過性</t>
        </is>
      </c>
      <c r="C97" s="41" t="inlineStr">
        <is>
          <t>同席者Calendarでbusy非ブロック</t>
        </is>
      </c>
      <c r="D97" s="41" t="inlineStr">
        <is>
          <t>integration(GoogleCal API)</t>
        </is>
      </c>
      <c r="E97" s="41" t="inlineStr">
        <is>
          <t>F-S2-2</t>
        </is>
      </c>
      <c r="F97" s="41" t="inlineStr">
        <is>
          <t>P2</t>
        </is>
      </c>
    </row>
    <row r="98">
      <c r="A98" s="41" t="inlineStr">
        <is>
          <t>AT-S2-WorkHours</t>
        </is>
      </c>
      <c r="B98" s="41" t="inlineStr">
        <is>
          <t>work_hours未設定警告</t>
        </is>
      </c>
      <c r="C98" s="41" t="inlineStr">
        <is>
          <t>AvailabilityPreviewにwarnings[]</t>
        </is>
      </c>
      <c r="D98" s="41" t="inlineStr">
        <is>
          <t>unit</t>
        </is>
      </c>
      <c r="E98" s="41" t="inlineStr">
        <is>
          <t>F-S2-3</t>
        </is>
      </c>
      <c r="F98" s="41" t="inlineStr">
        <is>
          <t>P2</t>
        </is>
      </c>
    </row>
    <row r="99">
      <c r="A99" s="41" t="inlineStr">
        <is>
          <t>AT-S2-Counter</t>
        </is>
      </c>
      <c r="B99" s="41" t="inlineStr">
        <is>
          <t>顧客起点リスケ</t>
        </is>
      </c>
      <c r="C99" s="41" t="inlineStr">
        <is>
          <t>SC-39で日程変更ボタン→AP-64 counter_propose</t>
        </is>
      </c>
      <c r="D99" s="41" t="inlineStr">
        <is>
          <t>E2E</t>
        </is>
      </c>
      <c r="E99" s="41" t="inlineStr">
        <is>
          <t>F-S2-4</t>
        </is>
      </c>
      <c r="F99" s="41" t="inlineStr">
        <is>
          <t>P2</t>
        </is>
      </c>
    </row>
    <row r="100">
      <c r="A100" s="41" t="inlineStr">
        <is>
          <t>AT-S3-Sort</t>
        </is>
      </c>
      <c r="B100" s="41" t="inlineStr">
        <is>
          <t>inbox優先順序</t>
        </is>
      </c>
      <c r="C100" s="41" t="inlineStr">
        <is>
          <t>信頼度高×古い順、新人ハイライト</t>
        </is>
      </c>
      <c r="D100" s="41" t="inlineStr">
        <is>
          <t>unit</t>
        </is>
      </c>
      <c r="E100" s="41" t="inlineStr">
        <is>
          <t>F-S3-1</t>
        </is>
      </c>
      <c r="F100" s="41" t="inlineStr">
        <is>
          <t>P2</t>
        </is>
      </c>
    </row>
    <row r="101">
      <c r="A101" s="41" t="inlineStr">
        <is>
          <t>AT-S3-Phone</t>
        </is>
      </c>
      <c r="B101" s="41" t="inlineStr">
        <is>
          <t>電話希望intent</t>
        </is>
      </c>
      <c r="C101" s="41" t="inlineStr">
        <is>
          <t>reply_with_phone_template提示</t>
        </is>
      </c>
      <c r="D101" s="41" t="inlineStr">
        <is>
          <t>integration</t>
        </is>
      </c>
      <c r="E101" s="41" t="inlineStr">
        <is>
          <t>F-S3-2</t>
        </is>
      </c>
      <c r="F101" s="41" t="inlineStr">
        <is>
          <t>P2</t>
        </is>
      </c>
    </row>
    <row r="102">
      <c r="A102" s="41" t="inlineStr">
        <is>
          <t>AT-S3-CCExternal</t>
        </is>
      </c>
      <c r="B102" s="41" t="inlineStr">
        <is>
          <t>未登録CC</t>
        </is>
      </c>
      <c r="C102" s="41" t="inlineStr">
        <is>
          <t>external_emailで一時保存+商談確定時contact化</t>
        </is>
      </c>
      <c r="D102" s="41" t="inlineStr">
        <is>
          <t>integration</t>
        </is>
      </c>
      <c r="E102" s="41" t="inlineStr">
        <is>
          <t>F-S3-3</t>
        </is>
      </c>
      <c r="F102" s="41" t="inlineStr">
        <is>
          <t>P2</t>
        </is>
      </c>
    </row>
    <row r="103">
      <c r="A103" s="41" t="inlineStr">
        <is>
          <t>AT-S4-Window</t>
        </is>
      </c>
      <c r="B103" s="41" t="inlineStr">
        <is>
          <t>live-search別window</t>
        </is>
      </c>
      <c r="C103" s="41" t="inlineStr">
        <is>
          <t>Zoom画面共有とコンフリクトしない</t>
        </is>
      </c>
      <c r="D103" s="41" t="inlineStr">
        <is>
          <t>E2E manual</t>
        </is>
      </c>
      <c r="E103" s="41" t="inlineStr">
        <is>
          <t>F-S4-1</t>
        </is>
      </c>
      <c r="F103" s="41" t="inlineStr">
        <is>
          <t>P2</t>
        </is>
      </c>
    </row>
    <row r="104">
      <c r="A104" s="41" t="inlineStr">
        <is>
          <t>AT-S4-Consent</t>
        </is>
      </c>
      <c r="B104" s="41" t="inlineStr">
        <is>
          <t>captured_via 全分岐</t>
        </is>
      </c>
      <c r="C104" s="41" t="inlineStr">
        <is>
          <t>zoom_apps/email_otp/verbal_logged の各経路で同意ログ</t>
        </is>
      </c>
      <c r="D104" s="41" t="inlineStr">
        <is>
          <t>integration</t>
        </is>
      </c>
      <c r="E104" s="41" t="inlineStr">
        <is>
          <t>F-S4-2</t>
        </is>
      </c>
      <c r="F104" s="41" t="inlineStr">
        <is>
          <t>P2</t>
        </is>
      </c>
    </row>
    <row r="105">
      <c r="A105" s="41" t="inlineStr">
        <is>
          <t>AT-S4-Blanket</t>
        </is>
      </c>
      <c r="B105" s="41" t="inlineStr">
        <is>
          <t>社内blanket consent</t>
        </is>
      </c>
      <c r="C105" s="41" t="inlineStr">
        <is>
          <t>late_join_pendingが自動captured</t>
        </is>
      </c>
      <c r="D105" s="41" t="inlineStr">
        <is>
          <t>integration</t>
        </is>
      </c>
      <c r="E105" s="41" t="inlineStr">
        <is>
          <t>F-S4-3</t>
        </is>
      </c>
      <c r="F105" s="41" t="inlineStr">
        <is>
          <t>P2</t>
        </is>
      </c>
    </row>
    <row r="106">
      <c r="A106" s="41" t="inlineStr">
        <is>
          <t>AT-S4-Brief</t>
        </is>
      </c>
      <c r="B106" s="41" t="inlineStr">
        <is>
          <t>brief degraded→full</t>
        </is>
      </c>
      <c r="C106" s="41" t="inlineStr">
        <is>
          <t>15分前縮退+5分前完全, 失敗時縮退維持</t>
        </is>
      </c>
      <c r="D106" s="41" t="inlineStr">
        <is>
          <t>integration</t>
        </is>
      </c>
      <c r="E106" s="41" t="inlineStr">
        <is>
          <t>F-S4-4</t>
        </is>
      </c>
      <c r="F106" s="41" t="inlineStr">
        <is>
          <t>P2</t>
        </is>
      </c>
    </row>
    <row r="107">
      <c r="A107" s="41" t="inlineStr">
        <is>
          <t>AT-S4-Pause</t>
        </is>
      </c>
      <c r="B107" s="41" t="inlineStr">
        <is>
          <t>録画停止アラート</t>
        </is>
      </c>
      <c r="C107" s="41" t="inlineStr">
        <is>
          <t>webhook→30秒以内Push+SMS</t>
        </is>
      </c>
      <c r="D107" s="41" t="inlineStr">
        <is>
          <t>integration</t>
        </is>
      </c>
      <c r="E107" s="41" t="inlineStr">
        <is>
          <t>F-S4-5</t>
        </is>
      </c>
      <c r="F107" s="41" t="inlineStr">
        <is>
          <t>P1</t>
        </is>
      </c>
    </row>
    <row r="108">
      <c r="A108" s="41" t="inlineStr">
        <is>
          <t>AT-S5-Stale</t>
        </is>
      </c>
      <c r="B108" s="41" t="inlineStr">
        <is>
          <t>derived staleness</t>
        </is>
      </c>
      <c r="C108" s="41" t="inlineStr">
        <is>
          <t>インライン編集後summary/handoff/embeddings版数+UI banner</t>
        </is>
      </c>
      <c r="D108" s="41" t="inlineStr">
        <is>
          <t>E2E</t>
        </is>
      </c>
      <c r="E108" s="41" t="inlineStr">
        <is>
          <t>F-S5-1</t>
        </is>
      </c>
      <c r="F108" s="41" t="inlineStr">
        <is>
          <t>P2</t>
        </is>
      </c>
    </row>
    <row r="109">
      <c r="A109" s="41" t="inlineStr">
        <is>
          <t>AT-S5-ETA</t>
        </is>
      </c>
      <c r="B109" s="41" t="inlineStr">
        <is>
          <t>stage ETA表示</t>
        </is>
      </c>
      <c r="C109" s="41" t="inlineStr">
        <is>
          <t>p95から動的算出</t>
        </is>
      </c>
      <c r="D109" s="41" t="inlineStr">
        <is>
          <t>unit</t>
        </is>
      </c>
      <c r="E109" s="41" t="inlineStr">
        <is>
          <t>F-S5-2</t>
        </is>
      </c>
      <c r="F109" s="41" t="inlineStr">
        <is>
          <t>P2</t>
        </is>
      </c>
    </row>
    <row r="110">
      <c r="A110" s="41" t="inlineStr">
        <is>
          <t>AT-S5-Audience</t>
        </is>
      </c>
      <c r="B110" s="41" t="inlineStr">
        <is>
          <t>audience selector</t>
        </is>
      </c>
      <c r="C110" s="41" t="inlineStr">
        <is>
          <t>internal/customer/legal/external各テンプレ適用</t>
        </is>
      </c>
      <c r="D110" s="41" t="inlineStr">
        <is>
          <t>integration</t>
        </is>
      </c>
      <c r="E110" s="41" t="inlineStr">
        <is>
          <t>F-S5-3</t>
        </is>
      </c>
      <c r="F110" s="41" t="inlineStr">
        <is>
          <t>P2</t>
        </is>
      </c>
    </row>
    <row r="111">
      <c r="A111" s="41" t="inlineStr">
        <is>
          <t>AT-S5-Speaker</t>
        </is>
      </c>
      <c r="B111" s="41" t="inlineStr">
        <is>
          <t>speaker_chip学習</t>
        </is>
      </c>
      <c r="C111" s="41" t="inlineStr">
        <is>
          <t>voice_embeddingで以後自動命名</t>
        </is>
      </c>
      <c r="D111" s="41" t="inlineStr">
        <is>
          <t>integration</t>
        </is>
      </c>
      <c r="E111" s="41" t="inlineStr">
        <is>
          <t>F-S5-4</t>
        </is>
      </c>
      <c r="F111" s="41" t="inlineStr">
        <is>
          <t>P2</t>
        </is>
      </c>
    </row>
    <row r="112">
      <c r="A112" s="41" t="inlineStr">
        <is>
          <t>AT-S6-Customer</t>
        </is>
      </c>
      <c r="B112" s="41" t="inlineStr">
        <is>
          <t>顧客スコープ即時検索</t>
        </is>
      </c>
      <c r="C112" s="41" t="inlineStr">
        <is>
          <t>CTI着信時autofocus+1タップ→Top3</t>
        </is>
      </c>
      <c r="D112" s="41" t="inlineStr">
        <is>
          <t>E2E</t>
        </is>
      </c>
      <c r="E112" s="41" t="inlineStr">
        <is>
          <t>F-S6-1</t>
        </is>
      </c>
      <c r="F112" s="41" t="inlineStr">
        <is>
          <t>P2</t>
        </is>
      </c>
    </row>
    <row r="113">
      <c r="A113" s="41" t="inlineStr">
        <is>
          <t>AT-S6-Former</t>
        </is>
      </c>
      <c r="B113" s="41" t="inlineStr">
        <is>
          <t>退職者発言バッジ</t>
        </is>
      </c>
      <c r="C113" s="41" t="inlineStr">
        <is>
          <t>former_employee_utterance=true行に黄色バッジ</t>
        </is>
      </c>
      <c r="D113" s="41" t="inlineStr">
        <is>
          <t>integration</t>
        </is>
      </c>
      <c r="E113" s="41" t="inlineStr">
        <is>
          <t>F-S6-2</t>
        </is>
      </c>
      <c r="F113" s="41" t="inlineStr">
        <is>
          <t>P2</t>
        </is>
      </c>
    </row>
    <row r="114">
      <c r="A114" s="41" t="inlineStr">
        <is>
          <t>AT-S6-Snippet</t>
        </is>
      </c>
      <c r="B114" s="41" t="inlineStr">
        <is>
          <t>三段スニペット</t>
        </is>
      </c>
      <c r="C114" s="41" t="inlineStr">
        <is>
          <t>-30s/hit/+15s表示</t>
        </is>
      </c>
      <c r="D114" s="41" t="inlineStr">
        <is>
          <t>unit</t>
        </is>
      </c>
      <c r="E114" s="41" t="inlineStr">
        <is>
          <t>F-S6-3</t>
        </is>
      </c>
      <c r="F114" s="41" t="inlineStr">
        <is>
          <t>P2</t>
        </is>
      </c>
    </row>
    <row r="115">
      <c r="A115" s="41" t="inlineStr">
        <is>
          <t>AT-S7-ETA</t>
        </is>
      </c>
      <c r="B115" s="41" t="inlineStr">
        <is>
          <t>ロープレ進捗UI</t>
        </is>
      </c>
      <c r="C115" s="41" t="inlineStr">
        <is>
          <t>ETA+stage SSE push</t>
        </is>
      </c>
      <c r="D115" s="41" t="inlineStr">
        <is>
          <t>E2E</t>
        </is>
      </c>
      <c r="E115" s="41" t="inlineStr">
        <is>
          <t>F-S7-1</t>
        </is>
      </c>
      <c r="F115" s="41" t="inlineStr">
        <is>
          <t>P3</t>
        </is>
      </c>
    </row>
    <row r="116">
      <c r="A116" s="41" t="inlineStr">
        <is>
          <t>AT-S7-Severity</t>
        </is>
      </c>
      <c r="B116" s="41" t="inlineStr">
        <is>
          <t>feedback severity</t>
        </is>
      </c>
      <c r="C116" s="41" t="inlineStr">
        <is>
          <t>top3初期表示</t>
        </is>
      </c>
      <c r="D116" s="41" t="inlineStr">
        <is>
          <t>unit</t>
        </is>
      </c>
      <c r="E116" s="41" t="inlineStr">
        <is>
          <t>F-S7-3</t>
        </is>
      </c>
      <c r="F116" s="41" t="inlineStr">
        <is>
          <t>P3</t>
        </is>
      </c>
    </row>
    <row r="117">
      <c r="A117" s="41" t="inlineStr">
        <is>
          <t>AT-S8-Top5</t>
        </is>
      </c>
      <c r="B117" s="41" t="inlineStr">
        <is>
          <t>注目案件Top5</t>
        </is>
      </c>
      <c r="C117" s="41" t="inlineStr">
        <is>
          <t>金額×確度×停滞の根拠付き</t>
        </is>
      </c>
      <c r="D117" s="41" t="inlineStr">
        <is>
          <t>integration</t>
        </is>
      </c>
      <c r="E117" s="41" t="inlineStr">
        <is>
          <t>F-S8-1</t>
        </is>
      </c>
      <c r="F117" s="41" t="inlineStr">
        <is>
          <t>P3</t>
        </is>
      </c>
    </row>
    <row r="118">
      <c r="A118" s="41" t="inlineStr">
        <is>
          <t>AT-S8-Observe</t>
        </is>
      </c>
      <c r="B118" s="41" t="inlineStr">
        <is>
          <t>観戦同意</t>
        </is>
      </c>
      <c r="C118" s="41" t="inlineStr">
        <is>
          <t>常時/事前通知/個別承認の3パスでaudit</t>
        </is>
      </c>
      <c r="D118" s="41" t="inlineStr">
        <is>
          <t>integration</t>
        </is>
      </c>
      <c r="E118" s="41" t="inlineStr">
        <is>
          <t>F-S8-2</t>
        </is>
      </c>
      <c r="F118" s="41" t="inlineStr">
        <is>
          <t>P3</t>
        </is>
      </c>
    </row>
    <row r="119">
      <c r="A119" s="41" t="inlineStr">
        <is>
          <t>AT-S8-Anomaly</t>
        </is>
      </c>
      <c r="B119" s="41" t="inlineStr">
        <is>
          <t>行動異常</t>
        </is>
      </c>
      <c r="C119" s="41" t="inlineStr">
        <is>
          <t>本人+上長同時通知</t>
        </is>
      </c>
      <c r="D119" s="41" t="inlineStr">
        <is>
          <t>integration</t>
        </is>
      </c>
      <c r="E119" s="41" t="inlineStr">
        <is>
          <t>F-S8-4</t>
        </is>
      </c>
      <c r="F119" s="41" t="inlineStr">
        <is>
          <t>P3</t>
        </is>
      </c>
    </row>
    <row r="120">
      <c r="A120" s="41" t="inlineStr">
        <is>
          <t>AT-S9-SLA</t>
        </is>
      </c>
      <c r="B120" s="41" t="inlineStr">
        <is>
          <t>handoff 48/72h</t>
        </is>
      </c>
      <c r="C120" s="41" t="inlineStr">
        <is>
          <t>escalate実行</t>
        </is>
      </c>
      <c r="D120" s="41" t="inlineStr">
        <is>
          <t>scheduled</t>
        </is>
      </c>
      <c r="E120" s="41" t="inlineStr">
        <is>
          <t>F-S9-1</t>
        </is>
      </c>
      <c r="F120" s="41" t="inlineStr">
        <is>
          <t>P2</t>
        </is>
      </c>
    </row>
    <row r="121">
      <c r="A121" s="41" t="inlineStr">
        <is>
          <t>AT-S9-Terms</t>
        </is>
      </c>
      <c r="B121" s="41" t="inlineStr">
        <is>
          <t>contract_special_terms</t>
        </is>
      </c>
      <c r="C121" s="41" t="inlineStr">
        <is>
          <t>enum+owner+due_date必須</t>
        </is>
      </c>
      <c r="D121" s="41" t="inlineStr">
        <is>
          <t>unit</t>
        </is>
      </c>
      <c r="E121" s="41" t="inlineStr">
        <is>
          <t>F-S9-2</t>
        </is>
      </c>
      <c r="F121" s="41" t="inlineStr">
        <is>
          <t>P2</t>
        </is>
      </c>
    </row>
    <row r="122">
      <c r="A122" s="41" t="inlineStr">
        <is>
          <t>AT-S10-Restore</t>
        </is>
      </c>
      <c r="B122" s="41" t="inlineStr">
        <is>
          <t>PITRセルフサービス</t>
        </is>
      </c>
      <c r="C122" s="41" t="inlineStr">
        <is>
          <t>admin+legal dual approval</t>
        </is>
      </c>
      <c r="D122" s="41" t="inlineStr">
        <is>
          <t>E2E</t>
        </is>
      </c>
      <c r="E122" s="41" t="inlineStr">
        <is>
          <t>F-S10-1</t>
        </is>
      </c>
      <c r="F122" s="41" t="inlineStr">
        <is>
          <t>P3</t>
        </is>
      </c>
    </row>
    <row r="123">
      <c r="A123" s="41" t="inlineStr">
        <is>
          <t>AT-S10-Evidence</t>
        </is>
      </c>
      <c r="B123" s="41" t="inlineStr">
        <is>
          <t>monthly evidence pack</t>
        </is>
      </c>
      <c r="C123" s="41" t="inlineStr">
        <is>
          <t>PDF+SHA256+GPG生成</t>
        </is>
      </c>
      <c r="D123" s="41" t="inlineStr">
        <is>
          <t>scheduled</t>
        </is>
      </c>
      <c r="E123" s="41" t="inlineStr">
        <is>
          <t>F-S10-2</t>
        </is>
      </c>
      <c r="F123" s="41" t="inlineStr">
        <is>
          <t>P2</t>
        </is>
      </c>
    </row>
    <row r="124">
      <c r="A124" s="41" t="inlineStr">
        <is>
          <t>AT-S10-Cost</t>
        </is>
      </c>
      <c r="B124" s="41" t="inlineStr">
        <is>
          <t>cost actuals</t>
        </is>
      </c>
      <c r="C124" s="41" t="inlineStr">
        <is>
          <t>Top3 over capでSlack</t>
        </is>
      </c>
      <c r="D124" s="41" t="inlineStr">
        <is>
          <t>scheduled</t>
        </is>
      </c>
      <c r="E124" s="41" t="inlineStr">
        <is>
          <t>F-S10-4</t>
        </is>
      </c>
      <c r="F124" s="41" t="inlineStr">
        <is>
          <t>P2</t>
        </is>
      </c>
    </row>
    <row r="125">
      <c r="A125" s="41" t="inlineStr">
        <is>
          <t>AT-S11-WORMConflict</t>
        </is>
      </c>
      <c r="B125" s="41" t="inlineStr">
        <is>
          <t>WORM vs 削除SLA</t>
        </is>
      </c>
      <c r="C125" s="41" t="inlineStr">
        <is>
          <t>worm_retention_required拒否+legal review</t>
        </is>
      </c>
      <c r="D125" s="41" t="inlineStr">
        <is>
          <t>integration</t>
        </is>
      </c>
      <c r="E125" s="41" t="inlineStr">
        <is>
          <t>F-S11-1</t>
        </is>
      </c>
      <c r="F125" s="41" t="inlineStr">
        <is>
          <t>P2</t>
        </is>
      </c>
    </row>
    <row r="126">
      <c r="A126" s="41" t="inlineStr">
        <is>
          <t>AT-S11-AdminUI</t>
        </is>
      </c>
      <c r="B126" s="41" t="inlineStr">
        <is>
          <t>削除依頼レビューUI</t>
        </is>
      </c>
      <c r="C126" s="41" t="inlineStr">
        <is>
          <t>SC-60a経由でidentity verify→approve</t>
        </is>
      </c>
      <c r="D126" s="41" t="inlineStr">
        <is>
          <t>E2E</t>
        </is>
      </c>
      <c r="E126" s="41" t="inlineStr">
        <is>
          <t>F-S11-2</t>
        </is>
      </c>
      <c r="F126" s="41" t="inlineStr">
        <is>
          <t>P2</t>
        </is>
      </c>
    </row>
    <row r="127">
      <c r="A127" s="41" t="inlineStr">
        <is>
          <t>AT-S11-LegalDual</t>
        </is>
      </c>
      <c r="B127" s="41" t="inlineStr">
        <is>
          <t>dual_approver legal必須</t>
        </is>
      </c>
      <c r="C127" s="41" t="inlineStr">
        <is>
          <t>片方role=legalでvalidation</t>
        </is>
      </c>
      <c r="D127" s="41" t="inlineStr">
        <is>
          <t>RLS</t>
        </is>
      </c>
      <c r="E127" s="41" t="inlineStr">
        <is>
          <t>F-S11-3</t>
        </is>
      </c>
      <c r="F127" s="41" t="inlineStr">
        <is>
          <t>P2</t>
        </is>
      </c>
    </row>
    <row r="128">
      <c r="A128" s="41" t="inlineStr">
        <is>
          <t>AT-S12-Order</t>
        </is>
      </c>
      <c r="B128" s="41" t="inlineStr">
        <is>
          <t>O-11前倒し</t>
        </is>
      </c>
      <c r="C128" s="41" t="inlineStr">
        <is>
          <t>M-Day 16:00 export → 16:30 revoke</t>
        </is>
      </c>
      <c r="D128" s="41" t="inlineStr">
        <is>
          <t>integration</t>
        </is>
      </c>
      <c r="E128" s="41" t="inlineStr">
        <is>
          <t>F-S12-1</t>
        </is>
      </c>
      <c r="F128" s="41" t="inlineStr">
        <is>
          <t>P2</t>
        </is>
      </c>
    </row>
    <row r="129">
      <c r="A129" s="41" t="inlineStr">
        <is>
          <t>AT-S12-Resume</t>
        </is>
      </c>
      <c r="B129" s="41" t="inlineStr">
        <is>
          <t>legacy_import再開</t>
        </is>
      </c>
      <c r="C129" s="41" t="inlineStr">
        <is>
          <t>staged_stateで継続</t>
        </is>
      </c>
      <c r="D129" s="41" t="inlineStr">
        <is>
          <t>E2E</t>
        </is>
      </c>
      <c r="E129" s="41" t="inlineStr">
        <is>
          <t>F-S12-2</t>
        </is>
      </c>
      <c r="F129" s="41" t="inlineStr">
        <is>
          <t>P2</t>
        </is>
      </c>
    </row>
    <row r="130">
      <c r="A130" s="41" t="inlineStr">
        <is>
          <t>AT-S13-Citation</t>
        </is>
      </c>
      <c r="B130" s="41" t="inlineStr">
        <is>
          <t>chat citation deeplink</t>
        </is>
      </c>
      <c r="C130" s="41" t="inlineStr">
        <is>
          <t>タップで/recordings/[id]?t=mm:ss</t>
        </is>
      </c>
      <c r="D130" s="41" t="inlineStr">
        <is>
          <t>E2E</t>
        </is>
      </c>
      <c r="E130" s="41" t="inlineStr">
        <is>
          <t>F-S13-1</t>
        </is>
      </c>
      <c r="F130" s="41" t="inlineStr">
        <is>
          <t>P3</t>
        </is>
      </c>
    </row>
    <row r="131">
      <c r="A131" s="41" t="inlineStr">
        <is>
          <t>AT-S13-Deprecated</t>
        </is>
      </c>
      <c r="B131" s="41" t="inlineStr">
        <is>
          <t>deprecated default除外</t>
        </is>
      </c>
      <c r="C131" s="41" t="inlineStr">
        <is>
          <t>exclude_deprecated=true初期</t>
        </is>
      </c>
      <c r="D131" s="41" t="inlineStr">
        <is>
          <t>integration</t>
        </is>
      </c>
      <c r="E131" s="41" t="inlineStr">
        <is>
          <t>F-S13-2</t>
        </is>
      </c>
      <c r="F131" s="41" t="inlineStr">
        <is>
          <t>P2</t>
        </is>
      </c>
    </row>
    <row r="132">
      <c r="A132" s="41" t="inlineStr">
        <is>
          <t>AT-S13-Granular</t>
        </is>
      </c>
      <c r="B132" s="41" t="inlineStr">
        <is>
          <t>日時パース粒度別</t>
        </is>
      </c>
      <c r="C132" s="41" t="inlineStr">
        <is>
          <t>曜日明示=±0/月単位=±1M</t>
        </is>
      </c>
      <c r="D132" s="41" t="inlineStr">
        <is>
          <t>unit</t>
        </is>
      </c>
      <c r="E132" s="41" t="inlineStr">
        <is>
          <t>F-S13-3</t>
        </is>
      </c>
      <c r="F132" s="41" t="inlineStr">
        <is>
          <t>P2</t>
        </is>
      </c>
    </row>
    <row r="133">
      <c r="A133" s="41" t="inlineStr">
        <is>
          <t>AT-S14-Wipe</t>
        </is>
      </c>
      <c r="B133" s="41" t="inlineStr">
        <is>
          <t>is_active=falseでIndexedDB wipe</t>
        </is>
      </c>
      <c r="C133" s="41" t="inlineStr">
        <is>
          <t>次回SW boot時実行</t>
        </is>
      </c>
      <c r="D133" s="41" t="inlineStr">
        <is>
          <t>E2E</t>
        </is>
      </c>
      <c r="E133" s="41" t="inlineStr">
        <is>
          <t>F-S14-1</t>
        </is>
      </c>
      <c r="F133" s="41" t="inlineStr">
        <is>
          <t>P1</t>
        </is>
      </c>
    </row>
    <row r="134">
      <c r="A134" s="41" t="inlineStr">
        <is>
          <t>AT-S14-VoiceSeg</t>
        </is>
      </c>
      <c r="B134" s="41" t="inlineStr">
        <is>
          <t>録音中断連結</t>
        </is>
      </c>
      <c r="C134" s="41" t="inlineStr">
        <is>
          <t>segments[]→最終transcribe結合</t>
        </is>
      </c>
      <c r="D134" s="41" t="inlineStr">
        <is>
          <t>E2E</t>
        </is>
      </c>
      <c r="E134" s="41" t="inlineStr">
        <is>
          <t>F-S14-2</t>
        </is>
      </c>
      <c r="F134" s="41" t="inlineStr">
        <is>
          <t>P2</t>
        </is>
      </c>
    </row>
    <row r="135">
      <c r="A135" s="41" t="inlineStr">
        <is>
          <t>AT-S14-SyncSuccess</t>
        </is>
      </c>
      <c r="B135" s="41" t="inlineStr">
        <is>
          <t>同期成功badge</t>
        </is>
      </c>
      <c r="C135" s="41" t="inlineStr">
        <is>
          <t>throttle 10s bundle</t>
        </is>
      </c>
      <c r="D135" s="41" t="inlineStr">
        <is>
          <t>integration</t>
        </is>
      </c>
      <c r="E135" s="41" t="inlineStr">
        <is>
          <t>F-S14-3</t>
        </is>
      </c>
      <c r="F135" s="41" t="inlineStr">
        <is>
          <t>P2</t>
        </is>
      </c>
    </row>
    <row r="136">
      <c r="A136" s="41" t="inlineStr">
        <is>
          <t>AT-UX-i18nPDF</t>
        </is>
      </c>
      <c r="B136" s="41" t="inlineStr">
        <is>
          <t>英語PDF</t>
        </is>
      </c>
      <c r="C136" s="41" t="inlineStr">
        <is>
          <t>viewer accept-language=enでen PDF</t>
        </is>
      </c>
      <c r="D136" s="41" t="inlineStr">
        <is>
          <t>E2E</t>
        </is>
      </c>
      <c r="E136" s="41" t="inlineStr">
        <is>
          <t>F-UX-1</t>
        </is>
      </c>
      <c r="F136" s="41" t="inlineStr">
        <is>
          <t>P3</t>
        </is>
      </c>
    </row>
    <row r="137">
      <c r="A137" s="41" t="inlineStr">
        <is>
          <t>AT-UX-A11y</t>
        </is>
      </c>
      <c r="B137" s="41" t="inlineStr">
        <is>
          <t>SC別ARIA</t>
        </is>
      </c>
      <c r="C137" s="41" t="inlineStr">
        <is>
          <t>jest-axe+各SCにcompoenent test</t>
        </is>
      </c>
      <c r="D137" s="41" t="inlineStr">
        <is>
          <t>unit+CI gate</t>
        </is>
      </c>
      <c r="E137" s="41" t="inlineStr">
        <is>
          <t>F-UX-2</t>
        </is>
      </c>
      <c r="F137" s="41" t="inlineStr">
        <is>
          <t>P3</t>
        </is>
      </c>
    </row>
    <row r="138">
      <c r="A138" s="41" t="inlineStr">
        <is>
          <t>AT-UX-Export</t>
        </is>
      </c>
      <c r="B138" s="41" t="inlineStr">
        <is>
          <t>個人エクスポート</t>
        </is>
      </c>
      <c r="C138" s="41" t="inlineStr">
        <is>
          <t>対象種別+パスフレーズSMS/別Email</t>
        </is>
      </c>
      <c r="D138" s="41" t="inlineStr">
        <is>
          <t>E2E</t>
        </is>
      </c>
      <c r="E138" s="41" t="inlineStr">
        <is>
          <t>F-UX-3</t>
        </is>
      </c>
      <c r="F138" s="41" t="inlineStr">
        <is>
          <t>P3</t>
        </is>
      </c>
    </row>
    <row r="139">
      <c r="A139" s="41" t="inlineStr">
        <is>
          <t>AT-UX-NotifDedup</t>
        </is>
      </c>
      <c r="B139" s="41" t="inlineStr">
        <is>
          <t>通知重複抑制</t>
        </is>
      </c>
      <c r="C139" s="41" t="inlineStr">
        <is>
          <t>同event_id 5分以内Push&gt;Slack&gt;Email</t>
        </is>
      </c>
      <c r="D139" s="41" t="inlineStr">
        <is>
          <t>integration</t>
        </is>
      </c>
      <c r="E139" s="41" t="inlineStr">
        <is>
          <t>F-UX-4</t>
        </is>
      </c>
      <c r="F139" s="41" t="inlineStr">
        <is>
          <t>P2</t>
        </is>
      </c>
    </row>
    <row r="140">
      <c r="A140" s="41" t="inlineStr">
        <is>
          <t>AT-UX-Help20</t>
        </is>
      </c>
      <c r="B140" s="41" t="inlineStr">
        <is>
          <t>help 20記事seed</t>
        </is>
      </c>
      <c r="C140" s="41" t="inlineStr">
        <is>
          <t>P1リリース時に最低20件</t>
        </is>
      </c>
      <c r="D140" s="41" t="inlineStr">
        <is>
          <t>release gate</t>
        </is>
      </c>
      <c r="E140" s="41" t="inlineStr">
        <is>
          <t>F-UX-5</t>
        </is>
      </c>
      <c r="F140" s="41" t="inlineStr">
        <is>
          <t>P2</t>
        </is>
      </c>
    </row>
    <row r="142">
      <c r="A142" s="41" t="inlineStr">
        <is>
          <t>■ v2.4 追加(再シミュ残課題)</t>
        </is>
      </c>
      <c r="B142" s="41" t="n"/>
      <c r="C142" s="41" t="n"/>
      <c r="D142" s="41" t="n"/>
      <c r="E142" s="41" t="n"/>
      <c r="F142" s="41" t="n"/>
    </row>
    <row r="143">
      <c r="A143" s="41" t="inlineStr">
        <is>
          <t>シーンID</t>
        </is>
      </c>
      <c r="B143" s="41" t="inlineStr">
        <is>
          <t>シナリオ</t>
        </is>
      </c>
      <c r="C143" s="41" t="inlineStr">
        <is>
          <t>受け入れ条件</t>
        </is>
      </c>
      <c r="D143" s="41" t="inlineStr">
        <is>
          <t>自動化</t>
        </is>
      </c>
      <c r="E143" s="41" t="inlineStr">
        <is>
          <t>対象US</t>
        </is>
      </c>
      <c r="F143" s="41" t="inlineStr">
        <is>
          <t>Phase</t>
        </is>
      </c>
    </row>
    <row r="144">
      <c r="A144" s="41" t="inlineStr">
        <is>
          <t>AT-S4-Verbal</t>
        </is>
      </c>
      <c r="B144" s="41" t="inlineStr">
        <is>
          <t>verbal同意の循環解消</t>
        </is>
      </c>
      <c r="C144" s="41" t="inlineStr">
        <is>
          <t>録画停止せずverbal_proof_locked=true→48h保持→audio_proof引用可</t>
        </is>
      </c>
      <c r="D144" s="41" t="inlineStr">
        <is>
          <t>integration</t>
        </is>
      </c>
      <c r="E144" s="41" t="inlineStr">
        <is>
          <t>NF-S4-1</t>
        </is>
      </c>
      <c r="F144" s="41" t="inlineStr">
        <is>
          <t>P2</t>
        </is>
      </c>
    </row>
    <row r="145">
      <c r="A145" s="41" t="inlineStr">
        <is>
          <t>AT-S7-Optin</t>
        </is>
      </c>
      <c r="B145" s="41" t="inlineStr">
        <is>
          <t>ロープレ共有opt-in</t>
        </is>
      </c>
      <c r="C145" s="41" t="inlineStr">
        <is>
          <t>新人の初回起動でモーダル表示+opt-in必須</t>
        </is>
      </c>
      <c r="D145" s="41" t="inlineStr">
        <is>
          <t>E2E</t>
        </is>
      </c>
      <c r="E145" s="41" t="inlineStr">
        <is>
          <t>F-S7-4再</t>
        </is>
      </c>
      <c r="F145" s="41" t="inlineStr">
        <is>
          <t>P3</t>
        </is>
      </c>
    </row>
    <row r="146">
      <c r="A146" s="41" t="inlineStr">
        <is>
          <t>AT-S11-3Approval</t>
        </is>
      </c>
      <c r="B146" s="41" t="inlineStr">
        <is>
          <t>3者承認チェーン</t>
        </is>
      </c>
      <c r="C146" s="41" t="inlineStr">
        <is>
          <t>法務→情シス→代理人の順序enforce</t>
        </is>
      </c>
      <c r="D146" s="41" t="inlineStr">
        <is>
          <t>RLS+E2E</t>
        </is>
      </c>
      <c r="E146" s="41" t="inlineStr">
        <is>
          <t>F-S11-3再</t>
        </is>
      </c>
      <c r="F146" s="41" t="inlineStr">
        <is>
          <t>P2</t>
        </is>
      </c>
    </row>
    <row r="147">
      <c r="A147" s="41" t="inlineStr">
        <is>
          <t>AT-S13-Pending</t>
        </is>
      </c>
      <c r="B147" s="41" t="inlineStr">
        <is>
          <t>speaker pending citation</t>
        </is>
      </c>
      <c r="C147" s="41" t="inlineStr">
        <is>
          <t>破線枠+aria-label+confidence%表示, &lt;0.4で降格</t>
        </is>
      </c>
      <c r="D147" s="41" t="inlineStr">
        <is>
          <t>E2E+axe</t>
        </is>
      </c>
      <c r="E147" s="41" t="inlineStr">
        <is>
          <t>F-S13-4再</t>
        </is>
      </c>
      <c r="F147" s="41" t="inlineStr">
        <is>
          <t>P3</t>
        </is>
      </c>
    </row>
    <row r="148">
      <c r="A148" s="41" t="inlineStr">
        <is>
          <t>AT-S14-DLQ</t>
        </is>
      </c>
      <c r="B148" s="41" t="inlineStr">
        <is>
          <t>Zoom historical DLQ</t>
        </is>
      </c>
      <c r="C148" s="41" t="inlineStr">
        <is>
          <t>3失敗→DLQ→手動retry</t>
        </is>
      </c>
      <c r="D148" s="41" t="inlineStr">
        <is>
          <t>integration</t>
        </is>
      </c>
      <c r="E148" s="41" t="inlineStr">
        <is>
          <t>F-S14-4再</t>
        </is>
      </c>
      <c r="F148" s="41" t="inlineStr">
        <is>
          <t>P3</t>
        </is>
      </c>
    </row>
    <row r="149">
      <c r="A149" s="41" t="inlineStr">
        <is>
          <t>AT-S2-AwayHeuristic</t>
        </is>
      </c>
      <c r="B149" s="41" t="inlineStr">
        <is>
          <t>出張heuristic</t>
        </is>
      </c>
      <c r="C149" s="41" t="inlineStr">
        <is>
          <t>flight email+hold密度でaway推定→24h timeout</t>
        </is>
      </c>
      <c r="D149" s="41" t="inlineStr">
        <is>
          <t>integration</t>
        </is>
      </c>
      <c r="E149" s="41" t="inlineStr">
        <is>
          <t>NF-S2-1</t>
        </is>
      </c>
      <c r="F149" s="41" t="inlineStr">
        <is>
          <t>P2</t>
        </is>
      </c>
    </row>
    <row r="150">
      <c r="A150" s="41" t="inlineStr">
        <is>
          <t>AT-S3-Followup</t>
        </is>
      </c>
      <c r="B150" s="41" t="inlineStr">
        <is>
          <t>convert_to_visit時のcontact化prompt</t>
        </is>
      </c>
      <c r="C150" s="41" t="inlineStr">
        <is>
          <t>住所/電話未入力ではsuggested_action実行不可</t>
        </is>
      </c>
      <c r="D150" s="41" t="inlineStr">
        <is>
          <t>E2E</t>
        </is>
      </c>
      <c r="E150" s="41" t="inlineStr">
        <is>
          <t>NF-S3-1</t>
        </is>
      </c>
      <c r="F150" s="41" t="inlineStr">
        <is>
          <t>P2</t>
        </is>
      </c>
    </row>
    <row r="151">
      <c r="A151" s="41" t="inlineStr">
        <is>
          <t>AT-S5-Debounce</t>
        </is>
      </c>
      <c r="B151" s="41" t="inlineStr">
        <is>
          <t>derived_artifacts debounce</t>
        </is>
      </c>
      <c r="C151" s="41" t="inlineStr">
        <is>
          <t>60秒静止で1回のみregen実行</t>
        </is>
      </c>
      <c r="D151" s="41" t="inlineStr">
        <is>
          <t>integration</t>
        </is>
      </c>
      <c r="E151" s="41" t="inlineStr">
        <is>
          <t>NF-S5-1</t>
        </is>
      </c>
      <c r="F151" s="41" t="inlineStr">
        <is>
          <t>P2</t>
        </is>
      </c>
    </row>
    <row r="152">
      <c r="A152" s="41" t="inlineStr">
        <is>
          <t>AT-UX-Translate</t>
        </is>
      </c>
      <c r="B152" s="41" t="inlineStr">
        <is>
          <t>voice_memo on-the-fly translation</t>
        </is>
      </c>
      <c r="C152" s="41" t="inlineStr">
        <is>
          <t>share閲覧時en翻訳+disclaimer表示</t>
        </is>
      </c>
      <c r="D152" s="41" t="inlineStr">
        <is>
          <t>E2E</t>
        </is>
      </c>
      <c r="E152" s="41" t="inlineStr">
        <is>
          <t>NF-UX-1</t>
        </is>
      </c>
      <c r="F152" s="41" t="inlineStr">
        <is>
          <t>P3</t>
        </is>
      </c>
    </row>
    <row r="153">
      <c r="A153" s="41" t="inlineStr">
        <is>
          <t>AT-S2-CalAPI</t>
        </is>
      </c>
      <c r="B153" s="41" t="inlineStr">
        <is>
          <t>Google Cal API制約対応</t>
        </is>
      </c>
      <c r="C153" s="41" t="inlineStr">
        <is>
          <t>attendees_dimmedで同席者にinvite未送信</t>
        </is>
      </c>
      <c r="D153" s="41" t="inlineStr">
        <is>
          <t>integration</t>
        </is>
      </c>
      <c r="E153" s="41" t="inlineStr">
        <is>
          <t>NF-S2-2</t>
        </is>
      </c>
      <c r="F153" s="41" t="inlineStr">
        <is>
          <t>P2</t>
        </is>
      </c>
    </row>
    <row r="154">
      <c r="A154" s="41" t="inlineStr">
        <is>
          <t>AT-S4-PauseDispatch</t>
        </is>
      </c>
      <c r="B154" s="41" t="inlineStr">
        <is>
          <t>録画停止SMS分岐</t>
        </is>
      </c>
      <c r="C154" s="41" t="inlineStr">
        <is>
          <t>本人=Pushのみ, admin=Push+SMS</t>
        </is>
      </c>
      <c r="D154" s="41" t="inlineStr">
        <is>
          <t>integration</t>
        </is>
      </c>
      <c r="E154" s="41" t="inlineStr">
        <is>
          <t>NF-S4-2</t>
        </is>
      </c>
      <c r="F154" s="41" t="inlineStr">
        <is>
          <t>P1</t>
        </is>
      </c>
    </row>
    <row r="155">
      <c r="A155" s="41" t="inlineStr">
        <is>
          <t>AT-S5-Layer</t>
        </is>
      </c>
      <c r="B155" s="41" t="inlineStr">
        <is>
          <t>former_employee+masked layer</t>
        </is>
      </c>
      <c r="C155" s="41" t="inlineStr">
        <is>
          <t>表示優先ルール準拠</t>
        </is>
      </c>
      <c r="D155" s="41" t="inlineStr">
        <is>
          <t>E2E</t>
        </is>
      </c>
      <c r="E155" s="41" t="inlineStr">
        <is>
          <t>NF-S5-2</t>
        </is>
      </c>
      <c r="F155" s="41" t="inlineStr">
        <is>
          <t>P2</t>
        </is>
      </c>
    </row>
    <row r="156">
      <c r="A156" s="41" t="inlineStr">
        <is>
          <t>AT-S8-CIThreshold</t>
        </is>
      </c>
      <c r="B156" s="41" t="inlineStr">
        <is>
          <t>AI予測しきい値</t>
        </is>
      </c>
      <c r="C156" s="41" t="inlineStr">
        <is>
          <t>&lt;0.6警告/&lt;0.4非表示</t>
        </is>
      </c>
      <c r="D156" s="41" t="inlineStr">
        <is>
          <t>unit</t>
        </is>
      </c>
      <c r="E156" s="41" t="inlineStr">
        <is>
          <t>NF-S8-1</t>
        </is>
      </c>
      <c r="F156" s="41" t="inlineStr">
        <is>
          <t>P3</t>
        </is>
      </c>
    </row>
    <row r="157">
      <c r="A157" s="41" t="inlineStr">
        <is>
          <t>AT-S9-Taxonomy</t>
        </is>
      </c>
      <c r="B157" s="41" t="inlineStr">
        <is>
          <t>taxonomy承認フロー</t>
        </is>
      </c>
      <c r="C157" s="41" t="inlineStr">
        <is>
          <t>proposed→legal_review→admin_approve→active</t>
        </is>
      </c>
      <c r="D157" s="41" t="inlineStr">
        <is>
          <t>integration</t>
        </is>
      </c>
      <c r="E157" s="41" t="inlineStr">
        <is>
          <t>NF-S9-1</t>
        </is>
      </c>
      <c r="F157" s="41" t="inlineStr">
        <is>
          <t>P3</t>
        </is>
      </c>
    </row>
    <row r="158">
      <c r="A158" s="41" t="inlineStr">
        <is>
          <t>AT-S10-RTO</t>
        </is>
      </c>
      <c r="B158" s="41" t="inlineStr">
        <is>
          <t>PITR RTO/RPO表示</t>
        </is>
      </c>
      <c r="C158" s="41" t="inlineStr">
        <is>
          <t>SC-78にrto_min/rpo_min/queue_eta_min</t>
        </is>
      </c>
      <c r="D158" s="41" t="inlineStr">
        <is>
          <t>E2E</t>
        </is>
      </c>
      <c r="E158" s="41" t="inlineStr">
        <is>
          <t>NF-S10-1</t>
        </is>
      </c>
      <c r="F158" s="41" t="inlineStr">
        <is>
          <t>P3</t>
        </is>
      </c>
    </row>
    <row r="160">
      <c r="A160" s="41" t="inlineStr">
        <is>
          <t>■ v2.5 追加(R3 minor)</t>
        </is>
      </c>
      <c r="B160" s="41" t="n"/>
      <c r="C160" s="41" t="n"/>
      <c r="D160" s="41" t="n"/>
      <c r="E160" s="41" t="n"/>
      <c r="F160" s="41" t="n"/>
    </row>
    <row r="161">
      <c r="A161" s="41" t="inlineStr">
        <is>
          <t>シーンID</t>
        </is>
      </c>
      <c r="B161" s="41" t="inlineStr">
        <is>
          <t>シナリオ</t>
        </is>
      </c>
      <c r="C161" s="41" t="inlineStr">
        <is>
          <t>受け入れ条件</t>
        </is>
      </c>
      <c r="D161" s="41" t="inlineStr">
        <is>
          <t>自動化</t>
        </is>
      </c>
      <c r="E161" s="41" t="inlineStr">
        <is>
          <t>対象US</t>
        </is>
      </c>
      <c r="F161" s="41" t="inlineStr">
        <is>
          <t>Phase</t>
        </is>
      </c>
    </row>
    <row r="162">
      <c r="A162" s="41" t="inlineStr">
        <is>
          <t>AT-S14-DLQUI</t>
        </is>
      </c>
      <c r="B162" s="41" t="inlineStr">
        <is>
          <t>SC-126 DLQ画面</t>
        </is>
      </c>
      <c r="C162" s="41" t="inlineStr">
        <is>
          <t>DLQTable+RetryButton+CSVExport+aria-label</t>
        </is>
      </c>
      <c r="D162" s="41" t="inlineStr">
        <is>
          <t>E2E+axe</t>
        </is>
      </c>
      <c r="E162" s="41" t="inlineStr">
        <is>
          <t>NF3-S14-1</t>
        </is>
      </c>
      <c r="F162" s="41" t="inlineStr">
        <is>
          <t>P3</t>
        </is>
      </c>
    </row>
    <row r="163">
      <c r="A163" s="41" t="inlineStr">
        <is>
          <t>AT-UX-HumanTranslate</t>
        </is>
      </c>
      <c r="B163" s="41" t="inlineStr">
        <is>
          <t>人手翻訳エスカレ</t>
        </is>
      </c>
      <c r="C163" s="41" t="inlineStr">
        <is>
          <t>SC-31リンク→AP-149→q_voice_memo_translate_human→SLA 5営業日</t>
        </is>
      </c>
      <c r="D163" s="41" t="inlineStr">
        <is>
          <t>E2E</t>
        </is>
      </c>
      <c r="E163" s="41" t="inlineStr">
        <is>
          <t>NF3-UX-2</t>
        </is>
      </c>
      <c r="F163" s="41" t="inlineStr">
        <is>
          <t>P3</t>
        </is>
      </c>
    </row>
    <row r="164">
      <c r="A164" s="41" t="inlineStr">
        <is>
          <t>AT-A11Y-Confidence</t>
        </is>
      </c>
      <c r="B164" s="41" t="inlineStr">
        <is>
          <t>speaker_confidence動的通知</t>
        </is>
      </c>
      <c r="C164" s="41" t="inlineStr">
        <is>
          <t>aria-live=politeで読み上げ</t>
        </is>
      </c>
      <c r="D164" s="41" t="inlineStr">
        <is>
          <t>NVDA手動</t>
        </is>
      </c>
      <c r="E164" s="41" t="inlineStr">
        <is>
          <t>NF3-A11Y-1</t>
        </is>
      </c>
      <c r="F164" s="41" t="inlineStr">
        <is>
          <t>P3</t>
        </is>
      </c>
    </row>
    <row r="165">
      <c r="A165" s="41" t="inlineStr">
        <is>
          <t>AT-S11-RepKYC</t>
        </is>
      </c>
      <c r="B165" s="41" t="inlineStr">
        <is>
          <t>代理人KYC</t>
        </is>
      </c>
      <c r="C165" s="41" t="inlineStr">
        <is>
          <t>POA url+ID url必須でないと承認不可</t>
        </is>
      </c>
      <c r="D165" s="41" t="inlineStr">
        <is>
          <t>RLS+E2E</t>
        </is>
      </c>
      <c r="E165" s="41" t="inlineStr">
        <is>
          <t>NF3-S11-1</t>
        </is>
      </c>
      <c r="F165" s="41" t="inlineStr">
        <is>
          <t>P2</t>
        </is>
      </c>
    </row>
    <row r="166">
      <c r="A166" s="41" t="inlineStr">
        <is>
          <t>AT-S2-AwayMulti</t>
        </is>
      </c>
      <c r="B166" s="41" t="inlineStr">
        <is>
          <t>多言語出張検出</t>
        </is>
      </c>
      <c r="C166" s="41" t="inlineStr">
        <is>
          <t>en-US itinerary/zh-CN出差通知でtimeout=24h延長</t>
        </is>
      </c>
      <c r="D166" s="41" t="inlineStr">
        <is>
          <t>integration</t>
        </is>
      </c>
      <c r="E166" s="41" t="inlineStr">
        <is>
          <t>NF3-S2-1</t>
        </is>
      </c>
      <c r="F166" s="41" t="inlineStr">
        <is>
          <t>P2</t>
        </is>
      </c>
    </row>
    <row r="167">
      <c r="A167" s="41" t="inlineStr">
        <is>
          <t>AT-S5-RegenNow</t>
        </is>
      </c>
      <c r="B167" s="41" t="inlineStr">
        <is>
          <t>手動再生成上書き</t>
        </is>
      </c>
      <c r="C167" s="41" t="inlineStr">
        <is>
          <t>debounce残30秒で『今すぐ』を押すとjob即実行</t>
        </is>
      </c>
      <c r="D167" s="41" t="inlineStr">
        <is>
          <t>E2E</t>
        </is>
      </c>
      <c r="E167" s="41" t="inlineStr">
        <is>
          <t>NF3-S5-1</t>
        </is>
      </c>
      <c r="F167" s="41" t="inlineStr">
        <is>
          <t>P2</t>
        </is>
      </c>
    </row>
    <row r="168">
      <c r="A168" s="41" t="inlineStr">
        <is>
          <t>AT-S4-VerbalExtend</t>
        </is>
      </c>
      <c r="B168" s="41" t="inlineStr">
        <is>
          <t>verbal_proof再延長3回</t>
        </is>
      </c>
      <c r="C168" s="41" t="inlineStr">
        <is>
          <t>4回目はauto_purged+admin通知</t>
        </is>
      </c>
      <c r="D168" s="41" t="inlineStr">
        <is>
          <t>integration</t>
        </is>
      </c>
      <c r="E168" s="41" t="inlineStr">
        <is>
          <t>NF3-S4-1</t>
        </is>
      </c>
      <c r="F168" s="41" t="inlineStr">
        <is>
          <t>P2</t>
        </is>
      </c>
    </row>
    <row r="169">
      <c r="A169" s="41" t="inlineStr">
        <is>
          <t>AT-S7-Downgrade</t>
        </is>
      </c>
      <c r="B169" s="41" t="inlineStr">
        <is>
          <t>roleplay downgrade遡及</t>
        </is>
      </c>
      <c r="C169" s="41" t="inlineStr">
        <is>
          <t>full→team_blurredで未視聴のみ再ぼかし、既存視聴履歴保持</t>
        </is>
      </c>
      <c r="D169" s="41" t="inlineStr">
        <is>
          <t>integration</t>
        </is>
      </c>
      <c r="E169" s="41" t="inlineStr">
        <is>
          <t>NF3-S7-1</t>
        </is>
      </c>
      <c r="F169" s="41" t="inlineStr">
        <is>
          <t>P3</t>
        </is>
      </c>
    </row>
    <row r="170">
      <c r="A170" s="41" t="inlineStr">
        <is>
          <t>AT-S8-Backlog</t>
        </is>
      </c>
      <c r="B170" s="41" t="inlineStr">
        <is>
          <t>review_backlogバッジ</t>
        </is>
      </c>
      <c r="C170" s="41" t="inlineStr">
        <is>
          <t>部下別×件数×最古日数表示</t>
        </is>
      </c>
      <c r="D170" s="41" t="inlineStr">
        <is>
          <t>E2E</t>
        </is>
      </c>
      <c r="E170" s="41" t="inlineStr">
        <is>
          <t>NF3-S8-1</t>
        </is>
      </c>
      <c r="F170" s="41" t="inlineStr">
        <is>
          <t>P3</t>
        </is>
      </c>
    </row>
    <row r="171">
      <c r="A171" s="41" t="inlineStr">
        <is>
          <t>AT-S9-Orphan</t>
        </is>
      </c>
      <c r="B171" s="41" t="inlineStr">
        <is>
          <t>taxonomy archive後の参照</t>
        </is>
      </c>
      <c r="C171" s="41" t="inlineStr">
        <is>
          <t>読取専用で保持+新規作成不可+migration可</t>
        </is>
      </c>
      <c r="D171" s="41" t="inlineStr">
        <is>
          <t>integration</t>
        </is>
      </c>
      <c r="E171" s="41" t="inlineStr">
        <is>
          <t>NF3-S9-1</t>
        </is>
      </c>
      <c r="F171" s="41" t="inlineStr">
        <is>
          <t>P3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4" customWidth="1" style="28" min="1" max="1"/>
    <col width="10" customWidth="1" style="28" min="2" max="2"/>
    <col width="10" customWidth="1" style="28" min="3" max="3"/>
    <col width="7" customWidth="1" style="28" min="4" max="4"/>
    <col width="14" customWidth="1" style="28" min="5" max="5"/>
    <col width="50" customWidth="1" style="28" min="6" max="6"/>
    <col width="50" customWidth="1" style="28" min="7" max="7"/>
    <col width="22" customWidth="1" style="28" min="8" max="8"/>
    <col width="10" customWidth="1" style="28" min="9" max="9"/>
  </cols>
  <sheetData>
    <row r="1">
      <c r="A1" s="56" t="inlineStr">
        <is>
          <t>Round1レビュー指摘の対応一覧</t>
        </is>
      </c>
    </row>
    <row r="2">
      <c r="A2" s="57" t="inlineStr">
        <is>
          <t>UX/技術アーキ/コンプラ運用 3レビュアー指摘(Critical 20件・Moderate 38件・Minor 26件)の対応</t>
        </is>
      </c>
    </row>
    <row r="4">
      <c r="A4" s="58" t="inlineStr">
        <is>
          <t>#</t>
        </is>
      </c>
      <c r="B4" s="58" t="inlineStr">
        <is>
          <t>Reviewer</t>
        </is>
      </c>
      <c r="C4" s="58" t="inlineStr">
        <is>
          <t>Severity</t>
        </is>
      </c>
      <c r="D4" s="58" t="inlineStr">
        <is>
          <t>ID</t>
        </is>
      </c>
      <c r="E4" s="58" t="inlineStr">
        <is>
          <t>領域</t>
        </is>
      </c>
      <c r="F4" s="58" t="inlineStr">
        <is>
          <t>指摘</t>
        </is>
      </c>
      <c r="G4" s="58" t="inlineStr">
        <is>
          <t>対応(v2.1での修正)</t>
        </is>
      </c>
      <c r="H4" s="58" t="inlineStr">
        <is>
          <t>関連シート/テーブル/API</t>
        </is>
      </c>
      <c r="I4" s="58" t="inlineStr">
        <is>
          <t>ステータス</t>
        </is>
      </c>
    </row>
    <row r="5">
      <c r="A5" s="59" t="n">
        <v>1</v>
      </c>
      <c r="B5" s="59" t="inlineStr">
        <is>
          <t>UX</t>
        </is>
      </c>
      <c r="C5" s="59" t="inlineStr">
        <is>
          <t>CRIT</t>
        </is>
      </c>
      <c r="D5" s="59" t="inlineStr">
        <is>
          <t>G-1</t>
        </is>
      </c>
      <c r="E5" s="59" t="inlineStr">
        <is>
          <t>S6 CSクレーム</t>
        </is>
      </c>
      <c r="F5" s="59" t="inlineStr">
        <is>
          <t>顧客電話中に名前一覧から1タップは現実味なし(CTI連動なし)</t>
        </is>
      </c>
      <c r="G5" s="59" t="inlineStr">
        <is>
          <t>AP-72に caller_phone を追加、SC-45にCTI widget(着信番号→customer auto-pick)、未一致時のみpadフォールバック</t>
        </is>
      </c>
      <c r="H5" s="59" t="inlineStr">
        <is>
          <t>SC-45,AP-72,新テーブル cti_calls</t>
        </is>
      </c>
      <c r="I5" s="59" t="inlineStr">
        <is>
          <t>対応</t>
        </is>
      </c>
    </row>
    <row r="6">
      <c r="A6" s="59" t="n">
        <v>2</v>
      </c>
      <c r="B6" s="59" t="inlineStr">
        <is>
          <t>UX</t>
        </is>
      </c>
      <c r="C6" s="59" t="inlineStr">
        <is>
          <t>CRIT</t>
        </is>
      </c>
      <c r="D6" s="59" t="inlineStr">
        <is>
          <t>G-2</t>
        </is>
      </c>
      <c r="E6" s="59" t="inlineStr">
        <is>
          <t>S11 録画同意</t>
        </is>
      </c>
      <c r="F6" s="59" t="inlineStr">
        <is>
          <t>途中入室者への同意取得フローが無い</t>
        </is>
      </c>
      <c r="G6" s="59" t="inlineStr">
        <is>
          <t>meeting_consent_capturesをper-attendee化(attendee_id列+UNIQUE制約)、新規参加検知jobで個別同意プロンプト、未同意者の発話は自動redact</t>
        </is>
      </c>
      <c r="H6" s="59" t="inlineStr">
        <is>
          <t>meeting_consent_captures(改),q_consent_check(改)</t>
        </is>
      </c>
      <c r="I6" s="59" t="inlineStr">
        <is>
          <t>対応</t>
        </is>
      </c>
    </row>
    <row r="7">
      <c r="A7" s="59" t="n">
        <v>3</v>
      </c>
      <c r="B7" s="59" t="inlineStr">
        <is>
          <t>UX</t>
        </is>
      </c>
      <c r="C7" s="59" t="inlineStr">
        <is>
          <t>CRIT</t>
        </is>
      </c>
      <c r="D7" s="59" t="inlineStr">
        <is>
          <t>G-3</t>
        </is>
      </c>
      <c r="E7" s="59" t="inlineStr">
        <is>
          <t>S4 商談中検索</t>
        </is>
      </c>
      <c r="F7" s="59" t="inlineStr">
        <is>
          <t>共有時に内部メモ/sensitive除外フィルタが必須適用と書かれていない</t>
        </is>
      </c>
      <c r="G7" s="59" t="inlineStr">
        <is>
          <t>SC-43にshare_safety_filter (default exclude_internal=true,exclude_sensitive=true) 必須適用、生成URLは外部用ペルソナ確定後に発行、プレビュー必須</t>
        </is>
      </c>
      <c r="H7" s="59" t="inlineStr">
        <is>
          <t>SC-43,AP-94(改)</t>
        </is>
      </c>
      <c r="I7" s="59" t="inlineStr">
        <is>
          <t>対応</t>
        </is>
      </c>
    </row>
    <row r="8">
      <c r="A8" s="59" t="n">
        <v>4</v>
      </c>
      <c r="B8" s="59" t="inlineStr">
        <is>
          <t>UX</t>
        </is>
      </c>
      <c r="C8" s="59" t="inlineStr">
        <is>
          <t>CRIT</t>
        </is>
      </c>
      <c r="D8" s="59" t="inlineStr">
        <is>
          <t>G-4</t>
        </is>
      </c>
      <c r="E8" s="59" t="inlineStr">
        <is>
          <t>S14 音声メモ</t>
        </is>
      </c>
      <c r="F8" s="59" t="inlineStr">
        <is>
          <t>録音中の電話着信/BG遷移の中断ハンドリング無し</t>
        </is>
      </c>
      <c r="G8" s="59" t="inlineStr">
        <is>
          <t>voice_memos.interruption_log追加、MediaRecorder onInterrupt→IndexedDB部分保存→着信終了で再開prompt</t>
        </is>
      </c>
      <c r="H8" s="59" t="inlineStr">
        <is>
          <t>voice_memos(改),17_offline_mobile(改)</t>
        </is>
      </c>
      <c r="I8" s="59" t="inlineStr">
        <is>
          <t>対応</t>
        </is>
      </c>
    </row>
    <row r="9">
      <c r="A9" s="59" t="n">
        <v>5</v>
      </c>
      <c r="B9" s="59" t="inlineStr">
        <is>
          <t>UX</t>
        </is>
      </c>
      <c r="C9" s="59" t="inlineStr">
        <is>
          <t>CRIT</t>
        </is>
      </c>
      <c r="D9" s="59" t="inlineStr">
        <is>
          <t>G-5</t>
        </is>
      </c>
      <c r="E9" s="59" t="inlineStr">
        <is>
          <t>S7 ロープレ</t>
        </is>
      </c>
      <c r="F9" s="59" t="inlineStr">
        <is>
          <t>観戦時の本人画面インジケータが無い(心理的安全性)</t>
        </is>
      </c>
      <c r="G9" s="59" t="inlineStr">
        <is>
          <t>SC-21被観戦時に常時バッジ『○○マネージャーが観戦中』、AP-75 observer_joined/leftイベント明示</t>
        </is>
      </c>
      <c r="H9" s="59" t="inlineStr">
        <is>
          <t>SC-21(改),AP-75(改)</t>
        </is>
      </c>
      <c r="I9" s="59" t="inlineStr">
        <is>
          <t>対応</t>
        </is>
      </c>
    </row>
    <row r="10">
      <c r="A10" s="59" t="n">
        <v>6</v>
      </c>
      <c r="B10" s="59" t="inlineStr">
        <is>
          <t>UX</t>
        </is>
      </c>
      <c r="C10" s="59" t="inlineStr">
        <is>
          <t>CRIT</t>
        </is>
      </c>
      <c r="D10" s="59" t="inlineStr">
        <is>
          <t>G-6</t>
        </is>
      </c>
      <c r="E10" s="59" t="inlineStr">
        <is>
          <t>S10 Soft delete</t>
        </is>
      </c>
      <c r="F10" s="59" t="inlineStr">
        <is>
          <t>30日経過直前のリマインドが無い</t>
        </is>
      </c>
      <c r="G10" s="59" t="inlineStr">
        <is>
          <t>所有者本人に7日前/1日前push+メール、復元1クリックリンク。q_soft_delete_reminderジョブ追加</t>
        </is>
      </c>
      <c r="H10" s="59" t="inlineStr">
        <is>
          <t>q_soft_delete_reminder(新),23_observability_alerts(改)</t>
        </is>
      </c>
      <c r="I10" s="59" t="inlineStr">
        <is>
          <t>対応</t>
        </is>
      </c>
    </row>
    <row r="11">
      <c r="A11" s="59" t="n">
        <v>7</v>
      </c>
      <c r="B11" s="59" t="inlineStr">
        <is>
          <t>Tech</t>
        </is>
      </c>
      <c r="C11" s="59" t="inlineStr">
        <is>
          <t>CRIT</t>
        </is>
      </c>
      <c r="D11" s="59" t="inlineStr">
        <is>
          <t>T-1</t>
        </is>
      </c>
      <c r="E11" s="59" t="inlineStr">
        <is>
          <t>data_model</t>
        </is>
      </c>
      <c r="F11" s="59" t="inlineStr">
        <is>
          <t>マルチテナント基盤欠落(中核テーブルにorg_idなし)</t>
        </is>
      </c>
      <c r="G11" s="59" t="inlineStr">
        <is>
          <t>全テーブルに org_id uuid NOT NULL を追加、RLS基本句を (org_id = current_setting('app.org_id')::uuid AND ...) に統一、pgvector HNSW を (org_id, embedding) で前提化</t>
        </is>
      </c>
      <c r="H11" s="59" t="inlineStr">
        <is>
          <t>全テーブル+08_security_rls(改)</t>
        </is>
      </c>
      <c r="I11" s="59" t="inlineStr">
        <is>
          <t>対応</t>
        </is>
      </c>
    </row>
    <row r="12">
      <c r="A12" s="59" t="n">
        <v>8</v>
      </c>
      <c r="B12" s="59" t="inlineStr">
        <is>
          <t>Tech</t>
        </is>
      </c>
      <c r="C12" s="59" t="inlineStr">
        <is>
          <t>CRIT</t>
        </is>
      </c>
      <c r="D12" s="59" t="inlineStr">
        <is>
          <t>T-2</t>
        </is>
      </c>
      <c r="E12" s="59" t="inlineStr">
        <is>
          <t>RLS×ベクトル</t>
        </is>
      </c>
      <c r="F12" s="59" t="inlineStr">
        <is>
          <t>embedding RLS が pgvector HNSW で機能せずsensitivity漏洩リスク</t>
        </is>
      </c>
      <c r="G12" s="59" t="inlineStr">
        <is>
          <t>(a)visibility/sensitivity/org_idをembeddingsメタデータに非正規化、(b)検索RPCはSECURITY DEFINER+関数内でauth.uid権限判定、(c)recording_segmentsのsensitivity複製でprefilter必須</t>
        </is>
      </c>
      <c r="H12" s="59" t="inlineStr">
        <is>
          <t>knowledge_embeddings(改),search RPC,08_security_rls(改)</t>
        </is>
      </c>
      <c r="I12" s="59" t="inlineStr">
        <is>
          <t>対応</t>
        </is>
      </c>
    </row>
    <row r="13">
      <c r="A13" s="59" t="n">
        <v>9</v>
      </c>
      <c r="B13" s="59" t="inlineStr">
        <is>
          <t>Tech</t>
        </is>
      </c>
      <c r="C13" s="59" t="inlineStr">
        <is>
          <t>CRIT</t>
        </is>
      </c>
      <c r="D13" s="59" t="inlineStr">
        <is>
          <t>T-3</t>
        </is>
      </c>
      <c r="E13" s="59" t="inlineStr">
        <is>
          <t>ジョブ冪等性</t>
        </is>
      </c>
      <c r="F13" s="59" t="inlineStr">
        <is>
          <t>pgmq冪等性キーがジョブ別に未定義、Webhookリトライで二重投入</t>
        </is>
      </c>
      <c r="G13" s="59" t="inlineStr">
        <is>
          <t>payloadにidempotency_key必須、jobs_inflightテーブルでSELECT FOR UPDATE SKIP LOCKED、Webhook受信はON CONFLICT DO NOTHING RETURNINGで投入、recording_stages遷移はCAS</t>
        </is>
      </c>
      <c r="H13" s="59" t="inlineStr">
        <is>
          <t>jobs_inflight(新),05_jobs_queues(改)</t>
        </is>
      </c>
      <c r="I13" s="59" t="inlineStr">
        <is>
          <t>対応</t>
        </is>
      </c>
    </row>
    <row r="14">
      <c r="A14" s="59" t="n">
        <v>10</v>
      </c>
      <c r="B14" s="59" t="inlineStr">
        <is>
          <t>Tech</t>
        </is>
      </c>
      <c r="C14" s="59" t="inlineStr">
        <is>
          <t>CRIT</t>
        </is>
      </c>
      <c r="D14" s="59" t="inlineStr">
        <is>
          <t>T-4</t>
        </is>
      </c>
      <c r="E14" s="59" t="inlineStr">
        <is>
          <t>検索性能</t>
        </is>
      </c>
      <c r="F14" s="59" t="inlineStr">
        <is>
          <t>RLS+HNSW+ハイブリッド検索の性能設計が破綻リスク</t>
        </is>
      </c>
      <c r="G14" s="59" t="inlineStr">
        <is>
          <t>(1)BM25はparadedb(pg_search)採用、(2)HNSW ef_search=64/ef_construction=128、(3)recording_segmentsのembedding metadataにorg_id+sensitivity+date複製してivfflat partition or partitioned table</t>
        </is>
      </c>
      <c r="H14" s="59" t="inlineStr">
        <is>
          <t>18_search_knowledge_quality(改),11_tech_stack_libs(改),03_data_model(改)</t>
        </is>
      </c>
      <c r="I14" s="59" t="inlineStr">
        <is>
          <t>対応</t>
        </is>
      </c>
    </row>
    <row r="15">
      <c r="A15" s="59" t="n">
        <v>11</v>
      </c>
      <c r="B15" s="59" t="inlineStr">
        <is>
          <t>Tech</t>
        </is>
      </c>
      <c r="C15" s="59" t="inlineStr">
        <is>
          <t>CRIT</t>
        </is>
      </c>
      <c r="D15" s="59" t="inlineStr">
        <is>
          <t>T-5</t>
        </is>
      </c>
      <c r="E15" s="59" t="inlineStr">
        <is>
          <t>API冪等性</t>
        </is>
      </c>
      <c r="F15" s="59" t="inlineStr">
        <is>
          <t>Idempotency-Keyの保管/TTL/再生仕様が空</t>
        </is>
      </c>
      <c r="G15" s="59" t="inlineStr">
        <is>
          <t>idempotency_keysテーブル(key,user_id,request_hash,response_jsonb,status,expires_at) + middleware で同key同hash→保存response再生・同key別hash→409、TTL=24h</t>
        </is>
      </c>
      <c r="H15" s="59" t="inlineStr">
        <is>
          <t>idempotency_keys(新),04_api_endpoints(改)</t>
        </is>
      </c>
      <c r="I15" s="59" t="inlineStr">
        <is>
          <t>対応</t>
        </is>
      </c>
    </row>
    <row r="16">
      <c r="A16" s="59" t="n">
        <v>12</v>
      </c>
      <c r="B16" s="59" t="inlineStr">
        <is>
          <t>Tech</t>
        </is>
      </c>
      <c r="C16" s="59" t="inlineStr">
        <is>
          <t>CRIT</t>
        </is>
      </c>
      <c r="D16" s="59" t="inlineStr">
        <is>
          <t>T-6</t>
        </is>
      </c>
      <c r="E16" s="59" t="inlineStr">
        <is>
          <t>観測性しきい値</t>
        </is>
      </c>
      <c r="F16" s="59" t="inlineStr">
        <is>
          <t>コスト/SLA/quotaの本物の境界に届いていない</t>
        </is>
      </c>
      <c r="G16" s="59" t="inlineStr">
        <is>
          <t>Prometheus/Grafana追加、Anthropic tokens/sec rateアラート、pgmq visibility timeout重複実行カウンタ、Realtime/pgbouncer/HNSW memory、Zoom/Google quota使用率</t>
        </is>
      </c>
      <c r="H16" s="59" t="inlineStr">
        <is>
          <t>23_observability_alerts(改)</t>
        </is>
      </c>
      <c r="I16" s="59" t="inlineStr">
        <is>
          <t>対応</t>
        </is>
      </c>
    </row>
    <row r="17">
      <c r="A17" s="59" t="n">
        <v>13</v>
      </c>
      <c r="B17" s="59" t="inlineStr">
        <is>
          <t>Tech</t>
        </is>
      </c>
      <c r="C17" s="59" t="inlineStr">
        <is>
          <t>CRIT</t>
        </is>
      </c>
      <c r="D17" s="59" t="inlineStr">
        <is>
          <t>T-7</t>
        </is>
      </c>
      <c r="E17" s="59" t="inlineStr">
        <is>
          <t>楽観ロック</t>
        </is>
      </c>
      <c r="F17" s="59" t="inlineStr">
        <is>
          <t>optimistic_lock_versions別表方式は原子性破綻</t>
        </is>
      </c>
      <c r="G17" s="59" t="inlineStr">
        <is>
          <t>対象テーブル本体にversion int NOT NULL DEFAULT 1、UPDATE時にWHERE id=? AND version=? RETURNINGでCAS。optimistic_lock_versionsは競合履歴ログ専用へ役割変更</t>
        </is>
      </c>
      <c r="H17" s="59" t="inlineStr">
        <is>
          <t>meetings/recordings/handoffs等(改),AP-85(改)</t>
        </is>
      </c>
      <c r="I17" s="59" t="inlineStr">
        <is>
          <t>対応</t>
        </is>
      </c>
    </row>
    <row r="18">
      <c r="A18" s="59" t="n">
        <v>14</v>
      </c>
      <c r="B18" s="59" t="inlineStr">
        <is>
          <t>Tech</t>
        </is>
      </c>
      <c r="C18" s="59" t="inlineStr">
        <is>
          <t>CRIT</t>
        </is>
      </c>
      <c r="D18" s="59" t="inlineStr">
        <is>
          <t>T-8</t>
        </is>
      </c>
      <c r="E18" s="59" t="inlineStr">
        <is>
          <t>シークレット</t>
        </is>
      </c>
      <c r="F18" s="59" t="inlineStr">
        <is>
          <t>旧secret猶予期間/key rotation/service_role bundle漏洩リスク</t>
        </is>
      </c>
      <c r="G18" s="59" t="inlineStr">
        <is>
          <t>_OLD/_NEW併存方式+SOP、service_role はworker専用、Next.jsはRoute Handler内で SUPABASE_PUBLIC_KEY+RLS 経由、gitleaks CI、Renovate</t>
        </is>
      </c>
      <c r="H18" s="59" t="inlineStr">
        <is>
          <t>10_env_vars(改),11_tech_stack_libs(改)</t>
        </is>
      </c>
      <c r="I18" s="59" t="inlineStr">
        <is>
          <t>対応</t>
        </is>
      </c>
    </row>
    <row r="19">
      <c r="A19" s="59" t="n">
        <v>15</v>
      </c>
      <c r="B19" s="59" t="inlineStr">
        <is>
          <t>Compl</t>
        </is>
      </c>
      <c r="C19" s="59" t="inlineStr">
        <is>
          <t>CRIT</t>
        </is>
      </c>
      <c r="D19" s="59" t="inlineStr">
        <is>
          <t>C-1</t>
        </is>
      </c>
      <c r="E19" s="59" t="inlineStr">
        <is>
          <t>録画同意</t>
        </is>
      </c>
      <c r="F19" s="59" t="inlineStr">
        <is>
          <t>事前提示・撤回・per-attendee・途中参加・pre-consent buffer purge未定義</t>
        </is>
      </c>
      <c r="G19" s="59" t="inlineStr">
        <is>
          <t>per-attendee consent化、Zoom join前同意dialog必須、途中参加検知→再アナウンスjob、撤回時の遡及削除SOP、pre_consent_buffer_purge_jobで同意前録音破棄</t>
        </is>
      </c>
      <c r="H19" s="59" t="inlineStr">
        <is>
          <t>meeting_consent_captures(改),q_consent_check(改),q_pre_consent_buffer_purge(新),16_compliance_legal(改)</t>
        </is>
      </c>
      <c r="I19" s="59" t="inlineStr">
        <is>
          <t>対応</t>
        </is>
      </c>
    </row>
    <row r="20">
      <c r="A20" s="59" t="n">
        <v>16</v>
      </c>
      <c r="B20" s="59" t="inlineStr">
        <is>
          <t>Compl</t>
        </is>
      </c>
      <c r="C20" s="59" t="inlineStr">
        <is>
          <t>CRIT</t>
        </is>
      </c>
      <c r="D20" s="59" t="inlineStr">
        <is>
          <t>C-2</t>
        </is>
      </c>
      <c r="E20" s="59" t="inlineStr">
        <is>
          <t>保持期間</t>
        </is>
      </c>
      <c r="F20" s="59" t="inlineStr">
        <is>
          <t>O-04未決+5年と矛盾、最小化原則違反</t>
        </is>
      </c>
      <c r="G20" s="59" t="inlineStr">
        <is>
          <t>O-04確定: 録画は受注/失注確定後3年(法務確認後)、退職時60日以内に再評価、retention_policiesテーブルでsensitivity tier別TTL、DPAと自動同期</t>
        </is>
      </c>
      <c r="H20" s="59" t="inlineStr">
        <is>
          <t>retention_policies(新),16_compliance_legal(改),13_risks_decisions(改)</t>
        </is>
      </c>
      <c r="I20" s="59" t="inlineStr">
        <is>
          <t>対応</t>
        </is>
      </c>
    </row>
    <row r="21">
      <c r="A21" s="59" t="n">
        <v>17</v>
      </c>
      <c r="B21" s="59" t="inlineStr">
        <is>
          <t>Compl</t>
        </is>
      </c>
      <c r="C21" s="59" t="inlineStr">
        <is>
          <t>CRIT</t>
        </is>
      </c>
      <c r="D21" s="59" t="inlineStr">
        <is>
          <t>C-3</t>
        </is>
      </c>
      <c r="E21" s="59" t="inlineStr">
        <is>
          <t>削除依頼</t>
        </is>
      </c>
      <c r="F21" s="59" t="inlineStr">
        <is>
          <t>下流伝播/拒否事由/バックアップ消去/identity verification 未定義</t>
        </is>
      </c>
      <c r="G21" s="59" t="inlineStr">
        <is>
          <t>data_deletion_requestsに rejection_reason_code,downstream_propagation_status(per processor),backup_shred_status,identity_verification_method追加。30日SLA中の15日中間通知。OpenAI/Anthropicの再学習禁止DPA明記、R2バケット側削除job、PITR窓経過後の最終確認job</t>
        </is>
      </c>
      <c r="H21" s="59" t="inlineStr">
        <is>
          <t>data_deletion_requests(改),q_deletion_propagate(新),16_compliance_legal(改)</t>
        </is>
      </c>
      <c r="I21" s="59" t="inlineStr">
        <is>
          <t>対応</t>
        </is>
      </c>
    </row>
    <row r="22">
      <c r="A22" s="59" t="n">
        <v>18</v>
      </c>
      <c r="B22" s="59" t="inlineStr">
        <is>
          <t>Compl</t>
        </is>
      </c>
      <c r="C22" s="59" t="inlineStr">
        <is>
          <t>CRIT</t>
        </is>
      </c>
      <c r="D22" s="59" t="inlineStr">
        <is>
          <t>C-4</t>
        </is>
      </c>
      <c r="E22" s="59" t="inlineStr">
        <is>
          <t>法的開示</t>
        </is>
      </c>
      <c r="F22" s="59" t="inlineStr">
        <is>
          <t>チェーンオブカストディ要件不足</t>
        </is>
      </c>
      <c r="G22" s="59" t="inlineStr">
        <is>
          <t>legal_disclosure_requestsにwarrant_type,requesting_authority,legal_review_by,custody_chain_hashes(jsonb),dual_approver_ids,subject_notification_decision追加。export時 manifest.json + SHA-256 + GPG署名同梱、MFA+二人承認(admin+legal)必須</t>
        </is>
      </c>
      <c r="H22" s="59" t="inlineStr">
        <is>
          <t>legal_disclosure_requests(改),AP-88(改)</t>
        </is>
      </c>
      <c r="I22" s="59" t="inlineStr">
        <is>
          <t>対応</t>
        </is>
      </c>
    </row>
    <row r="23">
      <c r="A23" s="59" t="n">
        <v>19</v>
      </c>
      <c r="B23" s="59" t="inlineStr">
        <is>
          <t>Compl</t>
        </is>
      </c>
      <c r="C23" s="59" t="inlineStr">
        <is>
          <t>CRIT</t>
        </is>
      </c>
      <c r="D23" s="59" t="inlineStr">
        <is>
          <t>C-5</t>
        </is>
      </c>
      <c r="E23" s="59" t="inlineStr">
        <is>
          <t>監査ログ</t>
        </is>
      </c>
      <c r="F23" s="59" t="inlineStr">
        <is>
          <t>非改ざん性なし、保持期間未明記</t>
        </is>
      </c>
      <c r="G23" s="59" t="inlineStr">
        <is>
          <t>audit_logs append-only(全role REVOKE UPDATE/DELETE、service_role INSERTのみ)、prev_hash sha256 hash chain、日次でR2 WORM(Object Lock compliance mode)へ。保持7年</t>
        </is>
      </c>
      <c r="H23" s="59" t="inlineStr">
        <is>
          <t>audit_logs(改),08_security_rls(改),16_compliance_legal(改)</t>
        </is>
      </c>
      <c r="I23" s="59" t="inlineStr">
        <is>
          <t>対応</t>
        </is>
      </c>
    </row>
    <row r="24">
      <c r="A24" s="59" t="n">
        <v>20</v>
      </c>
      <c r="B24" s="59" t="inlineStr">
        <is>
          <t>Compl</t>
        </is>
      </c>
      <c r="C24" s="59" t="inlineStr">
        <is>
          <t>CRIT</t>
        </is>
      </c>
      <c r="D24" s="59" t="inlineStr">
        <is>
          <t>C-6</t>
        </is>
      </c>
      <c r="E24" s="59" t="inlineStr">
        <is>
          <t>退職処理SOP</t>
        </is>
      </c>
      <c r="F24" s="59" t="inlineStr">
        <is>
          <t>所有権移管/legal hold/可搬性 未統合</t>
        </is>
      </c>
      <c r="G24" s="59" t="inlineStr">
        <is>
          <t>退職処理checklist(M-1〜M+30)定義: OAuth revoke→所有権 manager移管→legal hold判定→ex_employee_policy(retain/anon/delete)適用→退職者個人データexport提供→audit_logにarchive。q_anonymize_ex_employeeはlegal_hold行をskip+アラート</t>
        </is>
      </c>
      <c r="H24" s="59" t="inlineStr">
        <is>
          <t>SOP(新シート),user_offboarding_sop(新テーブル),q_anonymize_ex_employee(改)</t>
        </is>
      </c>
      <c r="I24" s="59" t="inlineStr">
        <is>
          <t>対応</t>
        </is>
      </c>
    </row>
    <row r="25">
      <c r="A25" s="59" t="n">
        <v>21</v>
      </c>
      <c r="B25" s="59" t="inlineStr">
        <is>
          <t>UX</t>
        </is>
      </c>
      <c r="C25" s="59" t="inlineStr">
        <is>
          <t>MOD</t>
        </is>
      </c>
      <c r="D25" s="59" t="inlineStr">
        <is>
          <t>G-7</t>
        </is>
      </c>
      <c r="E25" s="59" t="inlineStr">
        <is>
          <t>S1 暗所撮影</t>
        </is>
      </c>
      <c r="F25" s="59" t="inlineStr">
        <is>
          <t>WB/反射/手ブレで撮影前ガイド無し</t>
        </is>
      </c>
      <c r="G25" s="59" t="inlineStr">
        <is>
          <t>SC-33 CameraView に blur_score/exposure_score 即時算出、撮影前ガイド('暗すぎ'/'手ブレ')</t>
        </is>
      </c>
      <c r="H25" s="59" t="inlineStr">
        <is>
          <t>SC-33(改)</t>
        </is>
      </c>
      <c r="I25" s="59" t="inlineStr">
        <is>
          <t>対応</t>
        </is>
      </c>
    </row>
    <row r="26">
      <c r="A26" s="59" t="n">
        <v>22</v>
      </c>
      <c r="B26" s="59" t="inlineStr">
        <is>
          <t>UX</t>
        </is>
      </c>
      <c r="C26" s="59" t="inlineStr">
        <is>
          <t>MOD</t>
        </is>
      </c>
      <c r="D26" s="59" t="inlineStr">
        <is>
          <t>G-8</t>
        </is>
      </c>
      <c r="E26" s="59" t="inlineStr">
        <is>
          <t>S1 バーストモード</t>
        </is>
      </c>
      <c r="F26" s="59" t="inlineStr">
        <is>
          <t>100枚連続のメモリ/レビュー動線が不在</t>
        </is>
      </c>
      <c r="G26" s="59" t="inlineStr">
        <is>
          <t>SC-08をbatch_review_mode化(横スワイプ連続レビュー、共通項目一括適用)、100件超はチャンク非同期OCR</t>
        </is>
      </c>
      <c r="H26" s="59" t="inlineStr">
        <is>
          <t>SC-08(改)</t>
        </is>
      </c>
      <c r="I26" s="59" t="inlineStr">
        <is>
          <t>対応</t>
        </is>
      </c>
    </row>
    <row r="27">
      <c r="A27" s="59" t="n">
        <v>23</v>
      </c>
      <c r="B27" s="59" t="inlineStr">
        <is>
          <t>UX</t>
        </is>
      </c>
      <c r="C27" s="59" t="inlineStr">
        <is>
          <t>MOD</t>
        </is>
      </c>
      <c r="D27" s="59" t="inlineStr">
        <is>
          <t>G-9</t>
        </is>
      </c>
      <c r="E27" s="59" t="inlineStr">
        <is>
          <t>S14 騒音</t>
        </is>
      </c>
      <c r="F27" s="59" t="inlineStr">
        <is>
          <t>Whisperは騒音弱、SNR/ノイズ抑制なし</t>
        </is>
      </c>
      <c r="G27" s="59" t="inlineStr">
        <is>
          <t>AP-98にRNNoise/WebAudio noise suppression、SNR&lt;10dB時warning返却+再録ボタン</t>
        </is>
      </c>
      <c r="H27" s="59" t="inlineStr">
        <is>
          <t>AP-98(改),17_offline_mobile(改)</t>
        </is>
      </c>
      <c r="I27" s="59" t="inlineStr">
        <is>
          <t>対応</t>
        </is>
      </c>
    </row>
    <row r="28">
      <c r="A28" s="59" t="n">
        <v>24</v>
      </c>
      <c r="B28" s="59" t="inlineStr">
        <is>
          <t>UX</t>
        </is>
      </c>
      <c r="C28" s="59" t="inlineStr">
        <is>
          <t>MOD</t>
        </is>
      </c>
      <c r="D28" s="59" t="inlineStr">
        <is>
          <t>G-10</t>
        </is>
      </c>
      <c r="E28" s="59" t="inlineStr">
        <is>
          <t>S6 曖昧クエリ</t>
        </is>
      </c>
      <c r="F28" s="59" t="inlineStr">
        <is>
          <t>'前回'のような時間軸ゼロのリカバリ無し</t>
        </is>
      </c>
      <c r="G28" s="59" t="inlineStr">
        <is>
          <t>AP-94にcontext_hint(active_customer_id,last_meeting_id)、UIで'絞り込む質問'対話的補完</t>
        </is>
      </c>
      <c r="H28" s="59" t="inlineStr">
        <is>
          <t>AP-94(改)</t>
        </is>
      </c>
      <c r="I28" s="59" t="inlineStr">
        <is>
          <t>対応</t>
        </is>
      </c>
    </row>
    <row r="29">
      <c r="A29" s="59" t="n">
        <v>25</v>
      </c>
      <c r="B29" s="59" t="inlineStr">
        <is>
          <t>UX</t>
        </is>
      </c>
      <c r="C29" s="59" t="inlineStr">
        <is>
          <t>MOD</t>
        </is>
      </c>
      <c r="D29" s="59" t="inlineStr">
        <is>
          <t>G-11</t>
        </is>
      </c>
      <c r="E29" s="59" t="inlineStr">
        <is>
          <t>S8 マネージャー</t>
        </is>
      </c>
      <c r="F29" s="59" t="inlineStr">
        <is>
          <t>数値中心でナラティブ無し</t>
        </is>
      </c>
      <c r="G29" s="59" t="inlineStr">
        <is>
          <t>SC-25にメンバー別ナラティブカード(月次変化AI要約+talking points)、SC-26と連携</t>
        </is>
      </c>
      <c r="H29" s="59" t="inlineStr">
        <is>
          <t>SC-25(改),SC-26(改)</t>
        </is>
      </c>
      <c r="I29" s="59" t="inlineStr">
        <is>
          <t>対応</t>
        </is>
      </c>
    </row>
    <row r="30">
      <c r="A30" s="59" t="n">
        <v>26</v>
      </c>
      <c r="B30" s="59" t="inlineStr">
        <is>
          <t>UX</t>
        </is>
      </c>
      <c r="C30" s="59" t="inlineStr">
        <is>
          <t>MOD</t>
        </is>
      </c>
      <c r="D30" s="59" t="inlineStr">
        <is>
          <t>G-12</t>
        </is>
      </c>
      <c r="E30" s="59" t="inlineStr">
        <is>
          <t>S9 ハンドオフ</t>
        </is>
      </c>
      <c r="F30" s="59" t="inlineStr">
        <is>
          <t>未記入項目の強制リマインドが薄い</t>
        </is>
      </c>
      <c r="G30" s="59" t="inlineStr">
        <is>
          <t>API submit前にrequired validation+AI完成度スコア、CS reworkコメントを構造化(missing_items[])</t>
        </is>
      </c>
      <c r="H30" s="59" t="inlineStr">
        <is>
          <t>SC-23(改),AP-79(改)</t>
        </is>
      </c>
      <c r="I30" s="59" t="inlineStr">
        <is>
          <t>対応</t>
        </is>
      </c>
    </row>
    <row r="31">
      <c r="A31" s="59" t="n">
        <v>27</v>
      </c>
      <c r="B31" s="59" t="inlineStr">
        <is>
          <t>UX</t>
        </is>
      </c>
      <c r="C31" s="59" t="inlineStr">
        <is>
          <t>MOD</t>
        </is>
      </c>
      <c r="D31" s="59" t="inlineStr">
        <is>
          <t>G-13</t>
        </is>
      </c>
      <c r="E31" s="59" t="inlineStr">
        <is>
          <t>S12 オンボーディング</t>
        </is>
      </c>
      <c r="F31" s="59" t="inlineStr">
        <is>
          <t>完了後30日内にデータ蓄積トリガなし</t>
        </is>
      </c>
      <c r="G31" s="59" t="inlineStr">
        <is>
          <t>19_onboarding_initialに'初週KPI(連絡先5件/録画1件/検索3回)'のhabit-loop通知、未達でCSM/上司にalert</t>
        </is>
      </c>
      <c r="H31" s="59" t="inlineStr">
        <is>
          <t>19_onboarding_initial(改)</t>
        </is>
      </c>
      <c r="I31" s="59" t="inlineStr">
        <is>
          <t>対応</t>
        </is>
      </c>
    </row>
    <row r="32">
      <c r="A32" s="59" t="n">
        <v>28</v>
      </c>
      <c r="B32" s="59" t="inlineStr">
        <is>
          <t>UX</t>
        </is>
      </c>
      <c r="C32" s="59" t="inlineStr">
        <is>
          <t>MOD</t>
        </is>
      </c>
      <c r="D32" s="59" t="inlineStr">
        <is>
          <t>G-14</t>
        </is>
      </c>
      <c r="E32" s="59" t="inlineStr">
        <is>
          <t>S14 オフライン</t>
        </is>
      </c>
      <c r="F32" s="59" t="inlineStr">
        <is>
          <t>明示ピン留め機能なし</t>
        </is>
      </c>
      <c r="G32" s="59" t="inlineStr">
        <is>
          <t>SC-15/16にPin for offlineボタン、service_worker_cache_manifestにpinned_items優先度</t>
        </is>
      </c>
      <c r="H32" s="59" t="inlineStr">
        <is>
          <t>service_worker_cache_manifest(改),SC-15/16(改)</t>
        </is>
      </c>
      <c r="I32" s="59" t="inlineStr">
        <is>
          <t>対応</t>
        </is>
      </c>
    </row>
    <row r="33">
      <c r="A33" s="59" t="n">
        <v>29</v>
      </c>
      <c r="B33" s="59" t="inlineStr">
        <is>
          <t>UX</t>
        </is>
      </c>
      <c r="C33" s="59" t="inlineStr">
        <is>
          <t>MOD</t>
        </is>
      </c>
      <c r="D33" s="59" t="inlineStr">
        <is>
          <t>G-15</t>
        </is>
      </c>
      <c r="E33" s="59" t="inlineStr">
        <is>
          <t>S5 編集反映</t>
        </is>
      </c>
      <c r="F33" s="59" t="inlineStr">
        <is>
          <t>編集後embedding再生成の遅延/状態が見えない</t>
        </is>
      </c>
      <c r="G33" s="59" t="inlineStr">
        <is>
          <t>AP-22 responseにembedding_status(pending|fresh)、UIに'再インデックス中'バッジ+再検索ヒント</t>
        </is>
      </c>
      <c r="H33" s="59" t="inlineStr">
        <is>
          <t>AP-22(改)</t>
        </is>
      </c>
      <c r="I33" s="59" t="inlineStr">
        <is>
          <t>対応</t>
        </is>
      </c>
    </row>
    <row r="34">
      <c r="A34" s="59" t="n">
        <v>30</v>
      </c>
      <c r="B34" s="59" t="inlineStr">
        <is>
          <t>UX</t>
        </is>
      </c>
      <c r="C34" s="59" t="inlineStr">
        <is>
          <t>MOD</t>
        </is>
      </c>
      <c r="D34" s="59" t="inlineStr">
        <is>
          <t>G-16</t>
        </is>
      </c>
      <c r="E34" s="59" t="inlineStr">
        <is>
          <t>S2 重複アプローチ</t>
        </is>
      </c>
      <c r="F34" s="59" t="inlineStr">
        <is>
          <t>異なる商品ライン並行アプローチが見えない</t>
        </is>
      </c>
      <c r="G34" s="59" t="inlineStr">
        <is>
          <t>meeting_duplicatesにdeal_pipeline_id/product_line追加、警告でstage+productを明示</t>
        </is>
      </c>
      <c r="H34" s="59" t="inlineStr">
        <is>
          <t>meeting_duplicates(改)</t>
        </is>
      </c>
      <c r="I34" s="59" t="inlineStr">
        <is>
          <t>対応</t>
        </is>
      </c>
    </row>
    <row r="35">
      <c r="A35" s="59" t="n">
        <v>31</v>
      </c>
      <c r="B35" s="59" t="inlineStr">
        <is>
          <t>Tech</t>
        </is>
      </c>
      <c r="C35" s="59" t="inlineStr">
        <is>
          <t>MOD</t>
        </is>
      </c>
      <c r="D35" s="59" t="inlineStr">
        <is>
          <t>M-1</t>
        </is>
      </c>
      <c r="E35" s="59" t="inlineStr">
        <is>
          <t>data_model</t>
        </is>
      </c>
      <c r="F35" s="59" t="inlineStr">
        <is>
          <t>user_oauth_tokens のscope増分でセッション分裂</t>
        </is>
      </c>
      <c r="G35" s="59" t="inlineStr">
        <is>
          <t>UNIQUE(user_id,provider,scope_set_hash)、scopesマージ管理仕様</t>
        </is>
      </c>
      <c r="H35" s="59" t="inlineStr">
        <is>
          <t>user_oauth_tokens(改)</t>
        </is>
      </c>
      <c r="I35" s="59" t="inlineStr">
        <is>
          <t>対応</t>
        </is>
      </c>
    </row>
    <row r="36">
      <c r="A36" s="59" t="n">
        <v>32</v>
      </c>
      <c r="B36" s="59" t="inlineStr">
        <is>
          <t>Tech</t>
        </is>
      </c>
      <c r="C36" s="59" t="inlineStr">
        <is>
          <t>MOD</t>
        </is>
      </c>
      <c r="D36" s="59" t="inlineStr">
        <is>
          <t>M-2</t>
        </is>
      </c>
      <c r="E36" s="59" t="inlineStr">
        <is>
          <t>FK整合</t>
        </is>
      </c>
      <c r="F36" s="59" t="inlineStr">
        <is>
          <t>circular参照とON DELETE未定義</t>
        </is>
      </c>
      <c r="G36" s="59" t="inlineStr">
        <is>
          <t>soft delete統一、FK ON DELETE NO ACTION+アプリ層カスケード制御を冒頭で宣言</t>
        </is>
      </c>
      <c r="H36" s="59" t="inlineStr">
        <is>
          <t>03_data_model(改)</t>
        </is>
      </c>
      <c r="I36" s="59" t="inlineStr">
        <is>
          <t>対応</t>
        </is>
      </c>
    </row>
    <row r="37">
      <c r="A37" s="59" t="n">
        <v>33</v>
      </c>
      <c r="B37" s="59" t="inlineStr">
        <is>
          <t>Tech</t>
        </is>
      </c>
      <c r="C37" s="59" t="inlineStr">
        <is>
          <t>MOD</t>
        </is>
      </c>
      <c r="D37" s="59" t="inlineStr">
        <is>
          <t>M-3</t>
        </is>
      </c>
      <c r="E37" s="59" t="inlineStr">
        <is>
          <t>embeddings孤児</t>
        </is>
      </c>
      <c r="F37" s="59" t="inlineStr">
        <is>
          <t>多態的参照で孤児・削除カスケード未定義</t>
        </is>
      </c>
      <c r="G37" s="59" t="inlineStr">
        <is>
          <t>source_typeごとのpartial FK or DBトリガで参照存在チェック、削除時は q_embedding_cleanup ジョブで cleanup</t>
        </is>
      </c>
      <c r="H37" s="59" t="inlineStr">
        <is>
          <t>knowledge_embeddings(改),q_embedding_cleanup(新)</t>
        </is>
      </c>
      <c r="I37" s="59" t="inlineStr">
        <is>
          <t>対応</t>
        </is>
      </c>
    </row>
    <row r="38">
      <c r="A38" s="59" t="n">
        <v>34</v>
      </c>
      <c r="B38" s="59" t="inlineStr">
        <is>
          <t>Tech</t>
        </is>
      </c>
      <c r="C38" s="59" t="inlineStr">
        <is>
          <t>MOD</t>
        </is>
      </c>
      <c r="D38" s="59" t="inlineStr">
        <is>
          <t>M-4</t>
        </is>
      </c>
      <c r="E38" s="59" t="inlineStr">
        <is>
          <t>レート制限</t>
        </is>
      </c>
      <c r="F38" s="59" t="inlineStr">
        <is>
          <t>一律rpm、Webhook粒度なし</t>
        </is>
      </c>
      <c r="G38" s="59" t="inlineStr">
        <is>
          <t>endpoint groupごとに別バケット(webhook外形+secret検証のみ、search 30rpm、ocr 10/min)、Upstash or Postgresで保管</t>
        </is>
      </c>
      <c r="H38" s="59" t="inlineStr">
        <is>
          <t>08_security_rls(改),04_api_endpoints(改)</t>
        </is>
      </c>
      <c r="I38" s="59" t="inlineStr">
        <is>
          <t>対応</t>
        </is>
      </c>
    </row>
    <row r="39">
      <c r="A39" s="59" t="n">
        <v>35</v>
      </c>
      <c r="B39" s="59" t="inlineStr">
        <is>
          <t>Tech</t>
        </is>
      </c>
      <c r="C39" s="59" t="inlineStr">
        <is>
          <t>MOD</t>
        </is>
      </c>
      <c r="D39" s="59" t="inlineStr">
        <is>
          <t>M-5</t>
        </is>
      </c>
      <c r="E39" s="59" t="inlineStr">
        <is>
          <t>Idempotency一覧</t>
        </is>
      </c>
      <c r="F39" s="59" t="inlineStr">
        <is>
          <t>副作用APIにIdempotency必須/任意の列が無い</t>
        </is>
      </c>
      <c r="G39" s="59" t="inlineStr">
        <is>
          <t>04_api_endpointsに'Idempotency'列追加(全mutating)+ETag/If-Match</t>
        </is>
      </c>
      <c r="H39" s="59" t="inlineStr">
        <is>
          <t>04_api_endpoints(改)</t>
        </is>
      </c>
      <c r="I39" s="59" t="inlineStr">
        <is>
          <t>対応</t>
        </is>
      </c>
    </row>
    <row r="40">
      <c r="A40" s="59" t="n">
        <v>36</v>
      </c>
      <c r="B40" s="59" t="inlineStr">
        <is>
          <t>Tech</t>
        </is>
      </c>
      <c r="C40" s="59" t="inlineStr">
        <is>
          <t>MOD</t>
        </is>
      </c>
      <c r="D40" s="59" t="inlineStr">
        <is>
          <t>M-6</t>
        </is>
      </c>
      <c r="E40" s="59" t="inlineStr">
        <is>
          <t>録画状態</t>
        </is>
      </c>
      <c r="F40" s="59" t="inlineStr">
        <is>
          <t>stage失敗時のretry経路+embedding巻き戻し未定義</t>
        </is>
      </c>
      <c r="G40" s="59" t="inlineStr">
        <is>
          <t>recording_stagesにstage毎status/started_at/finished_at/error、reprocess時embeddingsをsource_id+stageでDELETE→再投入</t>
        </is>
      </c>
      <c r="H40" s="59" t="inlineStr">
        <is>
          <t>recording_stages(改),14_state_machines(改)</t>
        </is>
      </c>
      <c r="I40" s="59" t="inlineStr">
        <is>
          <t>対応</t>
        </is>
      </c>
    </row>
    <row r="41">
      <c r="A41" s="59" t="n">
        <v>37</v>
      </c>
      <c r="B41" s="59" t="inlineStr">
        <is>
          <t>Tech</t>
        </is>
      </c>
      <c r="C41" s="59" t="inlineStr">
        <is>
          <t>MOD</t>
        </is>
      </c>
      <c r="D41" s="59" t="inlineStr">
        <is>
          <t>M-7</t>
        </is>
      </c>
      <c r="E41" s="59" t="inlineStr">
        <is>
          <t>scheduling状態</t>
        </is>
      </c>
      <c r="F41" s="59" t="inlineStr">
        <is>
          <t>状態×イベントマトリクス未網羅</t>
        </is>
      </c>
      <c r="G41" s="59" t="inlineStr">
        <is>
          <t>状態×イベント表で全マス埋める/不可能なら空欄+'不可'と明示</t>
        </is>
      </c>
      <c r="H41" s="59" t="inlineStr">
        <is>
          <t>14_state_machines(改)</t>
        </is>
      </c>
      <c r="I41" s="59" t="inlineStr">
        <is>
          <t>対応</t>
        </is>
      </c>
    </row>
    <row r="42">
      <c r="A42" s="59" t="n">
        <v>38</v>
      </c>
      <c r="B42" s="59" t="inlineStr">
        <is>
          <t>Tech</t>
        </is>
      </c>
      <c r="C42" s="59" t="inlineStr">
        <is>
          <t>MOD</t>
        </is>
      </c>
      <c r="D42" s="59" t="inlineStr">
        <is>
          <t>M-8</t>
        </is>
      </c>
      <c r="E42" s="59" t="inlineStr">
        <is>
          <t>LLM contract</t>
        </is>
      </c>
      <c r="F42" s="59" t="inlineStr">
        <is>
          <t>tool use/JSON mode/zod再検証が断片的</t>
        </is>
      </c>
      <c r="G42" s="59" t="inlineStr">
        <is>
          <t>全LLM呼び出しでAnthropic tool use(or JSON mode)+zod再検証、失敗時1回再生成→needs_reviewを規約として07_llm_promptsに統一明記</t>
        </is>
      </c>
      <c r="H42" s="59" t="inlineStr">
        <is>
          <t>07_llm_prompts(改)</t>
        </is>
      </c>
      <c r="I42" s="59" t="inlineStr">
        <is>
          <t>対応</t>
        </is>
      </c>
    </row>
    <row r="43">
      <c r="A43" s="59" t="n">
        <v>39</v>
      </c>
      <c r="B43" s="59" t="inlineStr">
        <is>
          <t>Tech</t>
        </is>
      </c>
      <c r="C43" s="59" t="inlineStr">
        <is>
          <t>MOD</t>
        </is>
      </c>
      <c r="D43" s="59" t="inlineStr">
        <is>
          <t>M-9</t>
        </is>
      </c>
      <c r="E43" s="59" t="inlineStr">
        <is>
          <t>RAG設計</t>
        </is>
      </c>
      <c r="F43" s="59" t="inlineStr">
        <is>
          <t>retrievedの上限tokens/圧縮戦略が未定義</t>
        </is>
      </c>
      <c r="G43" s="59" t="inlineStr">
        <is>
          <t>per-chunk cap(1k tokens × 上位8件)、systemプロンプトをAnthropic prompt cacheに乗せる、cost guard $0.10/conversation</t>
        </is>
      </c>
      <c r="H43" s="59" t="inlineStr">
        <is>
          <t>07_llm_prompts(改),12_cost_estimate(改)</t>
        </is>
      </c>
      <c r="I43" s="59" t="inlineStr">
        <is>
          <t>対応</t>
        </is>
      </c>
    </row>
    <row r="44">
      <c r="A44" s="59" t="n">
        <v>40</v>
      </c>
      <c r="B44" s="59" t="inlineStr">
        <is>
          <t>Tech</t>
        </is>
      </c>
      <c r="C44" s="59" t="inlineStr">
        <is>
          <t>MOD</t>
        </is>
      </c>
      <c r="D44" s="59" t="inlineStr">
        <is>
          <t>M-10</t>
        </is>
      </c>
      <c r="E44" s="59" t="inlineStr">
        <is>
          <t>フリガナ推定</t>
        </is>
      </c>
      <c r="F44" s="59" t="inlineStr">
        <is>
          <t>Claudeハルシネーション</t>
        </is>
      </c>
      <c r="G44" s="59" t="inlineStr">
        <is>
          <t>kuromoji+辞書+Claudeアンサンブル、confidence&lt;0.8で人手確認</t>
        </is>
      </c>
      <c r="H44" s="59" t="inlineStr">
        <is>
          <t>LP-10(改)</t>
        </is>
      </c>
      <c r="I44" s="59" t="inlineStr">
        <is>
          <t>対応</t>
        </is>
      </c>
    </row>
    <row r="45">
      <c r="A45" s="59" t="n">
        <v>41</v>
      </c>
      <c r="B45" s="59" t="inlineStr">
        <is>
          <t>Tech</t>
        </is>
      </c>
      <c r="C45" s="59" t="inlineStr">
        <is>
          <t>MOD</t>
        </is>
      </c>
      <c r="D45" s="59" t="inlineStr">
        <is>
          <t>M-11</t>
        </is>
      </c>
      <c r="E45" s="59" t="inlineStr">
        <is>
          <t>R2 署名URL</t>
        </is>
      </c>
      <c r="F45" s="59" t="inlineStr">
        <is>
          <t>録画ダウンロード TTL=300s短すぎ</t>
        </is>
      </c>
      <c r="G45" s="59" t="inlineStr">
        <is>
          <t>署名URL(録画)1時間、ffmpegは-i pipe:でストリーミング処理、ローカル保存512MB上限</t>
        </is>
      </c>
      <c r="H45" s="59" t="inlineStr">
        <is>
          <t>05_jobs_queues(改),11_tech_stack_libs(改)</t>
        </is>
      </c>
      <c r="I45" s="59" t="inlineStr">
        <is>
          <t>対応</t>
        </is>
      </c>
    </row>
    <row r="46">
      <c r="A46" s="59" t="n">
        <v>42</v>
      </c>
      <c r="B46" s="59" t="inlineStr">
        <is>
          <t>Tech</t>
        </is>
      </c>
      <c r="C46" s="59" t="inlineStr">
        <is>
          <t>MOD</t>
        </is>
      </c>
      <c r="D46" s="59" t="inlineStr">
        <is>
          <t>M-12</t>
        </is>
      </c>
      <c r="E46" s="59" t="inlineStr">
        <is>
          <t>コスト試算</t>
        </is>
      </c>
      <c r="F46" s="59" t="inlineStr">
        <is>
          <t>楽観的見積</t>
        </is>
      </c>
      <c r="G46" s="59" t="inlineStr">
        <is>
          <t>ジョブ単位tokens再見積、per-meeting cost cap、超過時Haikuフォールバック</t>
        </is>
      </c>
      <c r="H46" s="59" t="inlineStr">
        <is>
          <t>12_cost_estimate(改),usage_limits(改)</t>
        </is>
      </c>
      <c r="I46" s="59" t="inlineStr">
        <is>
          <t>対応</t>
        </is>
      </c>
    </row>
    <row r="47">
      <c r="A47" s="59" t="n">
        <v>43</v>
      </c>
      <c r="B47" s="59" t="inlineStr">
        <is>
          <t>Tech</t>
        </is>
      </c>
      <c r="C47" s="59" t="inlineStr">
        <is>
          <t>MOD</t>
        </is>
      </c>
      <c r="D47" s="59" t="inlineStr">
        <is>
          <t>M-13</t>
        </is>
      </c>
      <c r="E47" s="59" t="inlineStr">
        <is>
          <t>DB容量</t>
        </is>
      </c>
      <c r="F47" s="59" t="inlineStr">
        <is>
          <t>録画/embeddingsで半年枯渇</t>
        </is>
      </c>
      <c r="G47" s="59" t="inlineStr">
        <is>
          <t>recordings.transcript_fullはR2のみ(DB preview)、audit_logs 90日でcold storage、embeddings分離余地</t>
        </is>
      </c>
      <c r="H47" s="59" t="inlineStr">
        <is>
          <t>12_cost_estimate(改),13_risks_decisions(改)</t>
        </is>
      </c>
      <c r="I47" s="59" t="inlineStr">
        <is>
          <t>対応</t>
        </is>
      </c>
    </row>
    <row r="48">
      <c r="A48" s="59" t="n">
        <v>44</v>
      </c>
      <c r="B48" s="59" t="inlineStr">
        <is>
          <t>Tech</t>
        </is>
      </c>
      <c r="C48" s="59" t="inlineStr">
        <is>
          <t>MOD</t>
        </is>
      </c>
      <c r="D48" s="59" t="inlineStr">
        <is>
          <t>M-14</t>
        </is>
      </c>
      <c r="E48" s="59" t="inlineStr">
        <is>
          <t>テスト網羅</t>
        </is>
      </c>
      <c r="F48" s="59" t="inlineStr">
        <is>
          <t>RLS pgTAP/DLQ復元/LLM JSON Schemaテスト不足</t>
        </is>
      </c>
      <c r="G48" s="59" t="inlineStr">
        <is>
          <t>AT-RLS-*/AT-DLQ-*/AT-LLM-Schema-*セクション追加</t>
        </is>
      </c>
      <c r="H48" s="59" t="inlineStr">
        <is>
          <t>24_acceptance_test_matrix(改)</t>
        </is>
      </c>
      <c r="I48" s="59" t="inlineStr">
        <is>
          <t>対応</t>
        </is>
      </c>
    </row>
    <row r="49">
      <c r="A49" s="59" t="n">
        <v>45</v>
      </c>
      <c r="B49" s="59" t="inlineStr">
        <is>
          <t>Tech</t>
        </is>
      </c>
      <c r="C49" s="59" t="inlineStr">
        <is>
          <t>MOD</t>
        </is>
      </c>
      <c r="D49" s="59" t="inlineStr">
        <is>
          <t>M-15</t>
        </is>
      </c>
      <c r="E49" s="59" t="inlineStr">
        <is>
          <t>ハルシネーションKPI</t>
        </is>
      </c>
      <c r="F49" s="59" t="inlineStr">
        <is>
          <t>goldenセットの粒度未定義</t>
        </is>
      </c>
      <c r="G49" s="59" t="inlineStr">
        <is>
          <t>golden set&gt;=200質問、四半期更新、95%CIで0-3%許容</t>
        </is>
      </c>
      <c r="H49" s="59" t="inlineStr">
        <is>
          <t>18_search_knowledge_quality(改)</t>
        </is>
      </c>
      <c r="I49" s="59" t="inlineStr">
        <is>
          <t>対応</t>
        </is>
      </c>
    </row>
    <row r="50">
      <c r="A50" s="59" t="n">
        <v>46</v>
      </c>
      <c r="B50" s="59" t="inlineStr">
        <is>
          <t>Tech</t>
        </is>
      </c>
      <c r="C50" s="59" t="inlineStr">
        <is>
          <t>MOD</t>
        </is>
      </c>
      <c r="D50" s="59" t="inlineStr">
        <is>
          <t>M-16</t>
        </is>
      </c>
      <c r="E50" s="59" t="inlineStr">
        <is>
          <t>共有リンクRPC</t>
        </is>
      </c>
      <c r="F50" s="59" t="inlineStr">
        <is>
          <t>service_role経路の境界曖昧</t>
        </is>
      </c>
      <c r="G50" s="59" t="inlineStr">
        <is>
          <t>share-link-access専用Edge Function/RPC、token verify+rate limit+audit強制、Route Handlerからservice_role直接DB禁止ルール</t>
        </is>
      </c>
      <c r="H50" s="59" t="inlineStr">
        <is>
          <t>08_security_rls(改),AP-31(改)</t>
        </is>
      </c>
      <c r="I50" s="59" t="inlineStr">
        <is>
          <t>対応</t>
        </is>
      </c>
    </row>
    <row r="51">
      <c r="A51" s="59" t="n">
        <v>47</v>
      </c>
      <c r="B51" s="59" t="inlineStr">
        <is>
          <t>Tech</t>
        </is>
      </c>
      <c r="C51" s="59" t="inlineStr">
        <is>
          <t>MOD</t>
        </is>
      </c>
      <c r="D51" s="59" t="inlineStr">
        <is>
          <t>M-17</t>
        </is>
      </c>
      <c r="E51" s="59" t="inlineStr">
        <is>
          <t>audit改ざん検知</t>
        </is>
      </c>
      <c r="F51" s="59" t="inlineStr">
        <is>
          <t>hash chain無し</t>
        </is>
      </c>
      <c r="G51" s="59" t="inlineStr">
        <is>
          <t>audit_logs append-only+prev_hash/sha256で日次ハッシュチェーン</t>
        </is>
      </c>
      <c r="H51" s="59" t="inlineStr">
        <is>
          <t>audit_logs(改)</t>
        </is>
      </c>
      <c r="I51" s="59" t="inlineStr">
        <is>
          <t>対応(C-5重複)</t>
        </is>
      </c>
    </row>
    <row r="52">
      <c r="A52" s="59" t="n">
        <v>48</v>
      </c>
      <c r="B52" s="59" t="inlineStr">
        <is>
          <t>Tech</t>
        </is>
      </c>
      <c r="C52" s="59" t="inlineStr">
        <is>
          <t>MOD</t>
        </is>
      </c>
      <c r="D52" s="59" t="inlineStr">
        <is>
          <t>M-18</t>
        </is>
      </c>
      <c r="E52" s="59" t="inlineStr">
        <is>
          <t>SW容量</t>
        </is>
      </c>
      <c r="F52" s="59" t="inlineStr">
        <is>
          <t>100MB超過時の動作・暗号化未定義</t>
        </is>
      </c>
      <c r="G52" s="59" t="inlineStr">
        <is>
          <t>IndexedDB暗号化(libsodium、key=session-bound)、容量超過時LRU、未同期データは保持</t>
        </is>
      </c>
      <c r="H52" s="59" t="inlineStr">
        <is>
          <t>17_offline_mobile(改)</t>
        </is>
      </c>
      <c r="I52" s="59" t="inlineStr">
        <is>
          <t>対応</t>
        </is>
      </c>
    </row>
    <row r="53">
      <c r="A53" s="59" t="n">
        <v>49</v>
      </c>
      <c r="B53" s="59" t="inlineStr">
        <is>
          <t>Tech</t>
        </is>
      </c>
      <c r="C53" s="59" t="inlineStr">
        <is>
          <t>MOD</t>
        </is>
      </c>
      <c r="D53" s="59" t="inlineStr">
        <is>
          <t>M-19</t>
        </is>
      </c>
      <c r="E53" s="59" t="inlineStr">
        <is>
          <t>API ID重複</t>
        </is>
      </c>
      <c r="F53" s="59" t="inlineStr">
        <is>
          <t>AP-95とAP-25が重複/SSEイベント未定義</t>
        </is>
      </c>
      <c r="G53" s="59" t="inlineStr">
        <is>
          <t>ID重複解消、SSEイベント仕様(event:token/source/done/error)記述</t>
        </is>
      </c>
      <c r="H53" s="59" t="inlineStr">
        <is>
          <t>04_api_endpoints(改)</t>
        </is>
      </c>
      <c r="I53" s="59" t="inlineStr">
        <is>
          <t>対応</t>
        </is>
      </c>
    </row>
    <row r="54">
      <c r="A54" s="59" t="n">
        <v>50</v>
      </c>
      <c r="B54" s="59" t="inlineStr">
        <is>
          <t>Tech</t>
        </is>
      </c>
      <c r="C54" s="59" t="inlineStr">
        <is>
          <t>MOD</t>
        </is>
      </c>
      <c r="D54" s="59" t="inlineStr">
        <is>
          <t>M-20</t>
        </is>
      </c>
      <c r="E54" s="59" t="inlineStr">
        <is>
          <t>email_drafts欠落</t>
        </is>
      </c>
      <c r="F54" s="59" t="inlineStr">
        <is>
          <t>email_undo_tokensが参照するemail_drafts定義なし</t>
        </is>
      </c>
      <c r="G54" s="59" t="inlineStr">
        <is>
          <t>email_draftsテーブル(id,thread_id,owner,subject,body,status,scheduled_send_at)追加</t>
        </is>
      </c>
      <c r="H54" s="59" t="inlineStr">
        <is>
          <t>email_drafts(新)</t>
        </is>
      </c>
      <c r="I54" s="59" t="inlineStr">
        <is>
          <t>対応</t>
        </is>
      </c>
    </row>
    <row r="55">
      <c r="A55" s="59" t="n">
        <v>51</v>
      </c>
      <c r="B55" s="59" t="inlineStr">
        <is>
          <t>Compl</t>
        </is>
      </c>
      <c r="C55" s="59" t="inlineStr">
        <is>
          <t>MOD</t>
        </is>
      </c>
      <c r="D55" s="59" t="inlineStr">
        <is>
          <t>M-C1</t>
        </is>
      </c>
      <c r="E55" s="59" t="inlineStr">
        <is>
          <t>secret rotation</t>
        </is>
      </c>
      <c r="F55" s="59" t="inlineStr">
        <is>
          <t>旧secret並行受け入れ窓無し</t>
        </is>
      </c>
      <c r="G55" s="59" t="inlineStr">
        <is>
          <t>dual-secret window 7日+Slack通知+rotation_audit</t>
        </is>
      </c>
      <c r="H55" s="59" t="inlineStr">
        <is>
          <t>secret_rotation_audit(新)</t>
        </is>
      </c>
      <c r="I55" s="59" t="inlineStr">
        <is>
          <t>対応</t>
        </is>
      </c>
    </row>
    <row r="56">
      <c r="A56" s="59" t="n">
        <v>52</v>
      </c>
      <c r="B56" s="59" t="inlineStr">
        <is>
          <t>Compl</t>
        </is>
      </c>
      <c r="C56" s="59" t="inlineStr">
        <is>
          <t>MOD</t>
        </is>
      </c>
      <c r="D56" s="59" t="inlineStr">
        <is>
          <t>M-C2</t>
        </is>
      </c>
      <c r="E56" s="59" t="inlineStr">
        <is>
          <t>共有リンク悪用</t>
        </is>
      </c>
      <c r="F56" s="59" t="inlineStr">
        <is>
          <t>透かし/DRM/bot対策なし</t>
        </is>
      </c>
      <c r="G56" s="59" t="inlineStr">
        <is>
          <t>external_summaries/recording_clipsにdynamic watermark(viewer email)+bot_block(captcha)+pre-fetch UA/refererチェック</t>
        </is>
      </c>
      <c r="H56" s="59" t="inlineStr">
        <is>
          <t>share_links(改),AP-68(改)</t>
        </is>
      </c>
      <c r="I56" s="59" t="inlineStr">
        <is>
          <t>対応</t>
        </is>
      </c>
    </row>
    <row r="57">
      <c r="A57" s="59" t="n">
        <v>53</v>
      </c>
      <c r="B57" s="59" t="inlineStr">
        <is>
          <t>Compl</t>
        </is>
      </c>
      <c r="C57" s="59" t="inlineStr">
        <is>
          <t>MOD</t>
        </is>
      </c>
      <c r="D57" s="59" t="inlineStr">
        <is>
          <t>M-C3</t>
        </is>
      </c>
      <c r="E57" s="59" t="inlineStr">
        <is>
          <t>社内閲覧マスキング</t>
        </is>
      </c>
      <c r="F57" s="59" t="inlineStr">
        <is>
          <t>sensitive=社内も段階閲覧不可</t>
        </is>
      </c>
      <c r="G57" s="59" t="inlineStr">
        <is>
          <t>recordings_select RLSをsensitivity tier段階適用、社内閲覧時もデフォルトmask、unmaskはreason+audit</t>
        </is>
      </c>
      <c r="H57" s="59" t="inlineStr">
        <is>
          <t>08_security_rls(改),recordings_segments_select</t>
        </is>
      </c>
      <c r="I57" s="59" t="inlineStr">
        <is>
          <t>対応</t>
        </is>
      </c>
    </row>
    <row r="58">
      <c r="A58" s="59" t="n">
        <v>54</v>
      </c>
      <c r="B58" s="59" t="inlineStr">
        <is>
          <t>Compl</t>
        </is>
      </c>
      <c r="C58" s="59" t="inlineStr">
        <is>
          <t>MOD</t>
        </is>
      </c>
      <c r="D58" s="59" t="inlineStr">
        <is>
          <t>M-C4</t>
        </is>
      </c>
      <c r="E58" s="59" t="inlineStr">
        <is>
          <t>DR</t>
        </is>
      </c>
      <c r="F58" s="59" t="inlineStr">
        <is>
          <t>RPO/RTO/クロスリージョン未定義</t>
        </is>
      </c>
      <c r="G58" s="59" t="inlineStr">
        <is>
          <t>RPO=15min/RTO=4h明文化、DR用ap-northeast-3 (osaka) encrypted backup、DPAとdata_residency_configに反映</t>
        </is>
      </c>
      <c r="H58" s="59" t="inlineStr">
        <is>
          <t>16_compliance_legal(改),data_residency_config(改)</t>
        </is>
      </c>
      <c r="I58" s="59" t="inlineStr">
        <is>
          <t>対応</t>
        </is>
      </c>
    </row>
    <row r="59">
      <c r="A59" s="59" t="n">
        <v>55</v>
      </c>
      <c r="B59" s="59" t="inlineStr">
        <is>
          <t>Compl</t>
        </is>
      </c>
      <c r="C59" s="59" t="inlineStr">
        <is>
          <t>MOD</t>
        </is>
      </c>
      <c r="D59" s="59" t="inlineStr">
        <is>
          <t>M-C5</t>
        </is>
      </c>
      <c r="E59" s="59" t="inlineStr">
        <is>
          <t>利用規約再同意</t>
        </is>
      </c>
      <c r="F59" s="59" t="inlineStr">
        <is>
          <t>ポリシー改訂時の再同意/撤回/影響範囲未定義</t>
        </is>
      </c>
      <c r="G59" s="59" t="inlineStr">
        <is>
          <t>consent_logsにversion,revoked_at,revocation_scope追加、改訂時の強制再ログイン+再同意</t>
        </is>
      </c>
      <c r="H59" s="59" t="inlineStr">
        <is>
          <t>consent_logs(改)</t>
        </is>
      </c>
      <c r="I59" s="59" t="inlineStr">
        <is>
          <t>対応</t>
        </is>
      </c>
    </row>
    <row r="60">
      <c r="A60" s="59" t="n">
        <v>56</v>
      </c>
      <c r="B60" s="59" t="inlineStr">
        <is>
          <t>Compl</t>
        </is>
      </c>
      <c r="C60" s="59" t="inlineStr">
        <is>
          <t>MOD</t>
        </is>
      </c>
      <c r="D60" s="59" t="inlineStr">
        <is>
          <t>M-C6</t>
        </is>
      </c>
      <c r="E60" s="59" t="inlineStr">
        <is>
          <t>フォールバック可視</t>
        </is>
      </c>
      <c r="F60" s="59" t="inlineStr">
        <is>
          <t>品質低下バナー/コストkill switchなし</t>
        </is>
      </c>
      <c r="G60" s="59" t="inlineStr">
        <is>
          <t>feature_flagsにllm_primary/fallback、UIにdegraded_modeバナー、月予算150%でhard stop</t>
        </is>
      </c>
      <c r="H60" s="59" t="inlineStr">
        <is>
          <t>feature_flags(改),23_observability_alerts(改)</t>
        </is>
      </c>
      <c r="I60" s="59" t="inlineStr">
        <is>
          <t>対応</t>
        </is>
      </c>
    </row>
    <row r="61">
      <c r="A61" s="59" t="n">
        <v>57</v>
      </c>
      <c r="B61" s="59" t="inlineStr">
        <is>
          <t>Compl</t>
        </is>
      </c>
      <c r="C61" s="59" t="inlineStr">
        <is>
          <t>MOD</t>
        </is>
      </c>
      <c r="D61" s="59" t="inlineStr">
        <is>
          <t>M-C7</t>
        </is>
      </c>
      <c r="E61" s="59" t="inlineStr">
        <is>
          <t>代理権限退職</t>
        </is>
      </c>
      <c r="F61" s="59" t="inlineStr">
        <is>
          <t>退職後のdelegate自動失効なし</t>
        </is>
      </c>
      <c r="G61" s="59" t="inlineStr">
        <is>
          <t>delegate_grants.expires_at必須、退職処理jobで全関連delegate_grants revoke</t>
        </is>
      </c>
      <c r="H61" s="59" t="inlineStr">
        <is>
          <t>delegate_grants(改),退職SOP</t>
        </is>
      </c>
      <c r="I61" s="59" t="inlineStr">
        <is>
          <t>対応</t>
        </is>
      </c>
    </row>
    <row r="62">
      <c r="A62" s="59" t="n">
        <v>58</v>
      </c>
      <c r="B62" s="59" t="inlineStr">
        <is>
          <t>Compl</t>
        </is>
      </c>
      <c r="C62" s="59" t="inlineStr">
        <is>
          <t>MOD</t>
        </is>
      </c>
      <c r="D62" s="59" t="inlineStr">
        <is>
          <t>M-C8</t>
        </is>
      </c>
      <c r="E62" s="59" t="inlineStr">
        <is>
          <t>admin監査</t>
        </is>
      </c>
      <c r="F62" s="59" t="inlineStr">
        <is>
          <t>レビューア独立性/サンプリング/エビデンス無し</t>
        </is>
      </c>
      <c r="G62" s="59" t="inlineStr">
        <is>
          <t>audit_review_recordsテーブル、月次チェックリスト、四半期外部監査(SOC2 Type2準備)</t>
        </is>
      </c>
      <c r="H62" s="59" t="inlineStr">
        <is>
          <t>audit_review_records(新),16_compliance_legal(改)</t>
        </is>
      </c>
      <c r="I62" s="59" t="inlineStr">
        <is>
          <t>対応</t>
        </is>
      </c>
    </row>
    <row r="63">
      <c r="A63" s="59" t="n">
        <v>59</v>
      </c>
      <c r="B63" s="59" t="inlineStr">
        <is>
          <t>UX</t>
        </is>
      </c>
      <c r="C63" s="59" t="inlineStr">
        <is>
          <t>MIN</t>
        </is>
      </c>
      <c r="D63" s="59" t="inlineStr">
        <is>
          <t>G-17</t>
        </is>
      </c>
      <c r="E63" s="59" t="inlineStr">
        <is>
          <t>片手UI</t>
        </is>
      </c>
      <c r="F63" s="59" t="inlineStr">
        <is>
          <t>左利き/親指リーチ規約なし</t>
        </is>
      </c>
      <c r="G63" s="59" t="inlineStr">
        <is>
          <t>21_a11y_i18nに handedness_setting と reach_zone_guideline 追加</t>
        </is>
      </c>
      <c r="H63" s="59" t="inlineStr">
        <is>
          <t>21_a11y_i18n(改)</t>
        </is>
      </c>
      <c r="I63" s="59" t="inlineStr">
        <is>
          <t>対応</t>
        </is>
      </c>
    </row>
    <row r="64">
      <c r="A64" s="59" t="n">
        <v>60</v>
      </c>
      <c r="B64" s="59" t="inlineStr">
        <is>
          <t>UX</t>
        </is>
      </c>
      <c r="C64" s="59" t="inlineStr">
        <is>
          <t>MIN</t>
        </is>
      </c>
      <c r="D64" s="59" t="inlineStr">
        <is>
          <t>G-18</t>
        </is>
      </c>
      <c r="E64" s="59" t="inlineStr">
        <is>
          <t>別スレッド</t>
        </is>
      </c>
      <c r="F64" s="59" t="inlineStr">
        <is>
          <t>References欠落時のフォールバック無し</t>
        </is>
      </c>
      <c r="G64" s="59" t="inlineStr">
        <is>
          <t>AP-64 parseに subject_similarity+sender_match fuzzy mergeを追加、低信頼度はinbox保留</t>
        </is>
      </c>
      <c r="H64" s="59" t="inlineStr">
        <is>
          <t>AP-64(改)</t>
        </is>
      </c>
      <c r="I64" s="59" t="inlineStr">
        <is>
          <t>対応</t>
        </is>
      </c>
    </row>
    <row r="65">
      <c r="A65" s="59" t="n">
        <v>61</v>
      </c>
      <c r="B65" s="59" t="inlineStr">
        <is>
          <t>UX</t>
        </is>
      </c>
      <c r="C65" s="59" t="inlineStr">
        <is>
          <t>MIN</t>
        </is>
      </c>
      <c r="D65" s="59" t="inlineStr">
        <is>
          <t>G-19</t>
        </is>
      </c>
      <c r="E65" s="59" t="inlineStr">
        <is>
          <t>reprocess差分</t>
        </is>
      </c>
      <c r="F65" s="59" t="inlineStr">
        <is>
          <t>旧/新のDiff Viewer無し</t>
        </is>
      </c>
      <c r="G65" s="59" t="inlineStr">
        <is>
          <t>SC-16 ReprocessにDiff Viewer、並列比較+承認/破棄</t>
        </is>
      </c>
      <c r="H65" s="59" t="inlineStr">
        <is>
          <t>SC-16(改)</t>
        </is>
      </c>
      <c r="I65" s="59" t="inlineStr">
        <is>
          <t>対応</t>
        </is>
      </c>
    </row>
    <row r="66">
      <c r="A66" s="59" t="n">
        <v>62</v>
      </c>
      <c r="B66" s="59" t="inlineStr">
        <is>
          <t>UX</t>
        </is>
      </c>
      <c r="C66" s="59" t="inlineStr">
        <is>
          <t>MIN</t>
        </is>
      </c>
      <c r="D66" s="59" t="inlineStr">
        <is>
          <t>G-20</t>
        </is>
      </c>
      <c r="E66" s="59" t="inlineStr">
        <is>
          <t>検索ゼロ件</t>
        </is>
      </c>
      <c r="F66" s="59" t="inlineStr">
        <is>
          <t>代替提案動線未定義</t>
        </is>
      </c>
      <c r="G66" s="59" t="inlineStr">
        <is>
          <t>AP-94 0件時 did_you_mean+broaden_filter</t>
        </is>
      </c>
      <c r="H66" s="59" t="inlineStr">
        <is>
          <t>AP-94(改)</t>
        </is>
      </c>
      <c r="I66" s="59" t="inlineStr">
        <is>
          <t>対応</t>
        </is>
      </c>
    </row>
    <row r="67">
      <c r="A67" s="59" t="n">
        <v>63</v>
      </c>
      <c r="B67" s="59" t="inlineStr">
        <is>
          <t>UX</t>
        </is>
      </c>
      <c r="C67" s="59" t="inlineStr">
        <is>
          <t>MIN</t>
        </is>
      </c>
      <c r="D67" s="59" t="inlineStr">
        <is>
          <t>G-21</t>
        </is>
      </c>
      <c r="E67" s="59" t="inlineStr">
        <is>
          <t>商談連続</t>
        </is>
      </c>
      <c r="F67" s="59" t="inlineStr">
        <is>
          <t>emotional reset無し</t>
        </is>
      </c>
      <c r="G67" s="59" t="inlineStr">
        <is>
          <t>SC-42に直前商談との切替アラート+1分リセットtip</t>
        </is>
      </c>
      <c r="H67" s="59" t="inlineStr">
        <is>
          <t>SC-42(改)</t>
        </is>
      </c>
      <c r="I67" s="59" t="inlineStr">
        <is>
          <t>対応</t>
        </is>
      </c>
    </row>
    <row r="68">
      <c r="A68" s="59" t="n">
        <v>64</v>
      </c>
      <c r="B68" s="59" t="inlineStr">
        <is>
          <t>UX</t>
        </is>
      </c>
      <c r="C68" s="59" t="inlineStr">
        <is>
          <t>MIN</t>
        </is>
      </c>
      <c r="D68" s="59" t="inlineStr">
        <is>
          <t>G-22</t>
        </is>
      </c>
      <c r="E68" s="59" t="inlineStr">
        <is>
          <t>退職者部分anon</t>
        </is>
      </c>
      <c r="F68" s="59" t="inlineStr">
        <is>
          <t>scope無し</t>
        </is>
      </c>
      <c r="G68" s="59" t="inlineStr">
        <is>
          <t>ex_employee_speech_policiesにscope(self_voice|all_segments|customer_facing_only)</t>
        </is>
      </c>
      <c r="H68" s="59" t="inlineStr">
        <is>
          <t>ex_employee_speech_policies(改)</t>
        </is>
      </c>
      <c r="I68" s="59" t="inlineStr">
        <is>
          <t>対応</t>
        </is>
      </c>
    </row>
    <row r="69">
      <c r="A69" s="59" t="n">
        <v>65</v>
      </c>
      <c r="B69" s="59" t="inlineStr">
        <is>
          <t>UX</t>
        </is>
      </c>
      <c r="C69" s="59" t="inlineStr">
        <is>
          <t>MIN</t>
        </is>
      </c>
      <c r="D69" s="59" t="inlineStr">
        <is>
          <t>G-23</t>
        </is>
      </c>
      <c r="E69" s="59" t="inlineStr">
        <is>
          <t>新人メンター</t>
        </is>
      </c>
      <c r="F69" s="59" t="inlineStr">
        <is>
          <t>アサイン動線無し</t>
        </is>
      </c>
      <c r="G69" s="59" t="inlineStr">
        <is>
          <t>onboarding_recommendationsにmentor_user_id+1on1schedule連携</t>
        </is>
      </c>
      <c r="H69" s="59" t="inlineStr">
        <is>
          <t>onboarding_recommendations(改)</t>
        </is>
      </c>
      <c r="I69" s="59" t="inlineStr">
        <is>
          <t>対応</t>
        </is>
      </c>
    </row>
    <row r="70">
      <c r="A70" s="59" t="n">
        <v>66</v>
      </c>
      <c r="B70" s="59" t="inlineStr">
        <is>
          <t>UX</t>
        </is>
      </c>
      <c r="C70" s="59" t="inlineStr">
        <is>
          <t>MIN</t>
        </is>
      </c>
      <c r="D70" s="59" t="inlineStr">
        <is>
          <t>G-24</t>
        </is>
      </c>
      <c r="E70" s="59" t="inlineStr">
        <is>
          <t>失注分析</t>
        </is>
      </c>
      <c r="F70" s="59" t="inlineStr">
        <is>
          <t>勝因分析の対比なし</t>
        </is>
      </c>
      <c r="G70" s="59" t="inlineStr">
        <is>
          <t>win_analyses追加、勝/負対比ビュー</t>
        </is>
      </c>
      <c r="H70" s="59" t="inlineStr">
        <is>
          <t>loss_analyses(改),win_analyses(新)</t>
        </is>
      </c>
      <c r="I70" s="59" t="inlineStr">
        <is>
          <t>対応</t>
        </is>
      </c>
    </row>
    <row r="71">
      <c r="A71" s="59" t="n">
        <v>67</v>
      </c>
      <c r="B71" s="59" t="inlineStr">
        <is>
          <t>UX</t>
        </is>
      </c>
      <c r="C71" s="59" t="inlineStr">
        <is>
          <t>MIN</t>
        </is>
      </c>
      <c r="D71" s="59" t="inlineStr">
        <is>
          <t>G-25</t>
        </is>
      </c>
      <c r="E71" s="59" t="inlineStr">
        <is>
          <t>iOS PWA</t>
        </is>
      </c>
      <c r="F71" s="59" t="inlineStr">
        <is>
          <t>インストール促進動線弱</t>
        </is>
      </c>
      <c r="G71" s="59" t="inlineStr">
        <is>
          <t>SC-66にiOS用PWA install gate+通知許可前提UI</t>
        </is>
      </c>
      <c r="H71" s="59" t="inlineStr">
        <is>
          <t>SC-66(改)</t>
        </is>
      </c>
      <c r="I71" s="59" t="inlineStr">
        <is>
          <t>対応</t>
        </is>
      </c>
    </row>
    <row r="72">
      <c r="A72" s="59" t="n">
        <v>68</v>
      </c>
      <c r="B72" s="59" t="inlineStr">
        <is>
          <t>UX</t>
        </is>
      </c>
      <c r="C72" s="59" t="inlineStr">
        <is>
          <t>MIN</t>
        </is>
      </c>
      <c r="D72" s="59" t="inlineStr">
        <is>
          <t>G-26</t>
        </is>
      </c>
      <c r="E72" s="59" t="inlineStr">
        <is>
          <t>話者誤識別</t>
        </is>
      </c>
      <c r="F72" s="59" t="inlineStr">
        <is>
          <t>遡及一括修正無し</t>
        </is>
      </c>
      <c r="G72" s="59" t="inlineStr">
        <is>
          <t>speaker_assignmentsにpropagate_to_past=true+バックグラウンドjob</t>
        </is>
      </c>
      <c r="H72" s="59" t="inlineStr">
        <is>
          <t>speaker_assignments(新),q_speaker_propagate(新)</t>
        </is>
      </c>
      <c r="I72" s="59" t="inlineStr">
        <is>
          <t>対応</t>
        </is>
      </c>
    </row>
    <row r="73">
      <c r="A73" s="59" t="n">
        <v>69</v>
      </c>
      <c r="B73" s="59" t="inlineStr">
        <is>
          <t>Tech</t>
        </is>
      </c>
      <c r="C73" s="59" t="inlineStr">
        <is>
          <t>MIN</t>
        </is>
      </c>
      <c r="D73" s="59" t="inlineStr">
        <is>
          <t>L-1</t>
        </is>
      </c>
      <c r="E73" s="59" t="inlineStr">
        <is>
          <t>role不足</t>
        </is>
      </c>
      <c r="F73" s="59" t="inlineStr">
        <is>
          <t>'legal'role無し</t>
        </is>
      </c>
      <c r="G73" s="59" t="inlineStr">
        <is>
          <t>usersのrole列に'legal'追加 or 別permission_grantsで管理</t>
        </is>
      </c>
      <c r="H73" s="59" t="inlineStr">
        <is>
          <t>users(改)</t>
        </is>
      </c>
      <c r="I73" s="59" t="inlineStr">
        <is>
          <t>対応</t>
        </is>
      </c>
    </row>
    <row r="74">
      <c r="A74" s="59" t="n">
        <v>70</v>
      </c>
      <c r="B74" s="59" t="inlineStr">
        <is>
          <t>Tech</t>
        </is>
      </c>
      <c r="C74" s="59" t="inlineStr">
        <is>
          <t>MIN</t>
        </is>
      </c>
      <c r="D74" s="59" t="inlineStr">
        <is>
          <t>L-2</t>
        </is>
      </c>
      <c r="E74" s="59" t="inlineStr">
        <is>
          <t>contact状態</t>
        </is>
      </c>
      <c r="F74" s="59" t="inlineStr">
        <is>
          <t>contact lifecycle無し</t>
        </is>
      </c>
      <c r="G74" s="59" t="inlineStr">
        <is>
          <t>14_state_machinesにcontact行追加</t>
        </is>
      </c>
      <c r="H74" s="59" t="inlineStr">
        <is>
          <t>14_state_machines(改)</t>
        </is>
      </c>
      <c r="I74" s="59" t="inlineStr">
        <is>
          <t>対応</t>
        </is>
      </c>
    </row>
    <row r="75">
      <c r="A75" s="59" t="n">
        <v>71</v>
      </c>
      <c r="B75" s="59" t="inlineStr">
        <is>
          <t>Tech</t>
        </is>
      </c>
      <c r="C75" s="59" t="inlineStr">
        <is>
          <t>MIN</t>
        </is>
      </c>
      <c r="D75" s="59" t="inlineStr">
        <is>
          <t>L-3</t>
        </is>
      </c>
      <c r="E75" s="59" t="inlineStr">
        <is>
          <t>TZDATA</t>
        </is>
      </c>
      <c r="F75" s="59" t="inlineStr">
        <is>
          <t>env脆弱</t>
        </is>
      </c>
      <c r="G75" s="59" t="inlineStr">
        <is>
          <t>Dockerfileで tzdata固定、envはラベルのみ</t>
        </is>
      </c>
      <c r="H75" s="59" t="inlineStr">
        <is>
          <t>11_tech_stack_libs(改)</t>
        </is>
      </c>
      <c r="I75" s="59" t="inlineStr">
        <is>
          <t>対応</t>
        </is>
      </c>
    </row>
    <row r="76">
      <c r="A76" s="59" t="n">
        <v>72</v>
      </c>
      <c r="B76" s="59" t="inlineStr">
        <is>
          <t>Tech</t>
        </is>
      </c>
      <c r="C76" s="59" t="inlineStr">
        <is>
          <t>MIN</t>
        </is>
      </c>
      <c r="D76" s="59" t="inlineStr">
        <is>
          <t>L-4</t>
        </is>
      </c>
      <c r="E76" s="59" t="inlineStr">
        <is>
          <t>Web Vitals</t>
        </is>
      </c>
      <c r="F76" s="59" t="inlineStr">
        <is>
          <t>送信先未指定</t>
        </is>
      </c>
      <c r="G76" s="59" t="inlineStr">
        <is>
          <t>Vercel Speed Insights or 自前API決定</t>
        </is>
      </c>
      <c r="H76" s="59" t="inlineStr">
        <is>
          <t>11_tech_stack_libs(改)</t>
        </is>
      </c>
      <c r="I76" s="59" t="inlineStr">
        <is>
          <t>対応</t>
        </is>
      </c>
    </row>
    <row r="77">
      <c r="A77" s="59" t="n">
        <v>73</v>
      </c>
      <c r="B77" s="59" t="inlineStr">
        <is>
          <t>Tech</t>
        </is>
      </c>
      <c r="C77" s="59" t="inlineStr">
        <is>
          <t>MIN</t>
        </is>
      </c>
      <c r="D77" s="59" t="inlineStr">
        <is>
          <t>L-5</t>
        </is>
      </c>
      <c r="E77" s="59" t="inlineStr">
        <is>
          <t>SW回帰</t>
        </is>
      </c>
      <c r="F77" s="59" t="inlineStr">
        <is>
          <t>skipWaiting/clientsClaim回帰なし</t>
        </is>
      </c>
      <c r="G77" s="59" t="inlineStr">
        <is>
          <t>ATにSWバージョンアップ時のキャッシュ整合追加</t>
        </is>
      </c>
      <c r="H77" s="59" t="inlineStr">
        <is>
          <t>24_acceptance_test_matrix(改)</t>
        </is>
      </c>
      <c r="I77" s="59" t="inlineStr">
        <is>
          <t>対応</t>
        </is>
      </c>
    </row>
    <row r="78">
      <c r="A78" s="59" t="n">
        <v>74</v>
      </c>
      <c r="B78" s="59" t="inlineStr">
        <is>
          <t>Tech</t>
        </is>
      </c>
      <c r="C78" s="59" t="inlineStr">
        <is>
          <t>MIN</t>
        </is>
      </c>
      <c r="D78" s="59" t="inlineStr">
        <is>
          <t>L-6</t>
        </is>
      </c>
      <c r="E78" s="59" t="inlineStr">
        <is>
          <t>share_links</t>
        </is>
      </c>
      <c r="F78" s="59" t="inlineStr">
        <is>
          <t>ハッシュ未指定</t>
        </is>
      </c>
      <c r="G78" s="59" t="inlineStr">
        <is>
          <t>argon2id強制、tokenはsha256でDB保存しurlのみ平文</t>
        </is>
      </c>
      <c r="H78" s="59" t="inlineStr">
        <is>
          <t>share_links(改)</t>
        </is>
      </c>
      <c r="I78" s="59" t="inlineStr">
        <is>
          <t>対応</t>
        </is>
      </c>
    </row>
    <row r="79">
      <c r="A79" s="59" t="n">
        <v>75</v>
      </c>
      <c r="B79" s="59" t="inlineStr">
        <is>
          <t>Tech</t>
        </is>
      </c>
      <c r="C79" s="59" t="inlineStr">
        <is>
          <t>MIN</t>
        </is>
      </c>
      <c r="D79" s="59" t="inlineStr">
        <is>
          <t>L-7</t>
        </is>
      </c>
      <c r="E79" s="59" t="inlineStr">
        <is>
          <t>ロープレ評価</t>
        </is>
      </c>
      <c r="F79" s="59" t="inlineStr">
        <is>
          <t>rubric_total整合なし</t>
        </is>
      </c>
      <c r="G79" s="59" t="inlineStr">
        <is>
          <t>アプリ側で rubric_scores * weight = overall_score 再計算</t>
        </is>
      </c>
      <c r="H79" s="59" t="inlineStr">
        <is>
          <t>07_llm_prompts(改)</t>
        </is>
      </c>
      <c r="I79" s="59" t="inlineStr">
        <is>
          <t>対応</t>
        </is>
      </c>
    </row>
    <row r="80">
      <c r="A80" s="59" t="n">
        <v>76</v>
      </c>
      <c r="B80" s="59" t="inlineStr">
        <is>
          <t>Tech</t>
        </is>
      </c>
      <c r="C80" s="59" t="inlineStr">
        <is>
          <t>MIN</t>
        </is>
      </c>
      <c r="D80" s="59" t="inlineStr">
        <is>
          <t>L-8</t>
        </is>
      </c>
      <c r="E80" s="59" t="inlineStr">
        <is>
          <t>embedding partial</t>
        </is>
      </c>
      <c r="F80" s="59" t="inlineStr">
        <is>
          <t>field-level diff未定義</t>
        </is>
      </c>
      <c r="G80" s="59" t="inlineStr">
        <is>
          <t>commitments更新時はcommitment chunksのみ再生成</t>
        </is>
      </c>
      <c r="H80" s="59" t="inlineStr">
        <is>
          <t>AP-22(改)</t>
        </is>
      </c>
      <c r="I80" s="59" t="inlineStr">
        <is>
          <t>対応</t>
        </is>
      </c>
    </row>
    <row r="81">
      <c r="A81" s="59" t="n">
        <v>77</v>
      </c>
      <c r="B81" s="59" t="inlineStr">
        <is>
          <t>Tech</t>
        </is>
      </c>
      <c r="C81" s="59" t="inlineStr">
        <is>
          <t>MIN</t>
        </is>
      </c>
      <c r="D81" s="59" t="inlineStr">
        <is>
          <t>L-9</t>
        </is>
      </c>
      <c r="E81" s="59" t="inlineStr">
        <is>
          <t>overlap表現</t>
        </is>
      </c>
      <c r="F81" s="59" t="inlineStr">
        <is>
          <t>重なり発話表現無し</t>
        </is>
      </c>
      <c r="G81" s="59" t="inlineStr">
        <is>
          <t>recording_segmentsにspeakers text[] or overlap_with_segment_id自己参照</t>
        </is>
      </c>
      <c r="H81" s="59" t="inlineStr">
        <is>
          <t>recording_segments(改)</t>
        </is>
      </c>
      <c r="I81" s="59" t="inlineStr">
        <is>
          <t>対応</t>
        </is>
      </c>
    </row>
    <row r="82">
      <c r="A82" s="59" t="n">
        <v>78</v>
      </c>
      <c r="B82" s="59" t="inlineStr">
        <is>
          <t>Tech</t>
        </is>
      </c>
      <c r="C82" s="59" t="inlineStr">
        <is>
          <t>MIN</t>
        </is>
      </c>
      <c r="D82" s="59" t="inlineStr">
        <is>
          <t>L-10</t>
        </is>
      </c>
      <c r="E82" s="59" t="inlineStr">
        <is>
          <t>Worker分離</t>
        </is>
      </c>
      <c r="F82" s="59" t="inlineStr">
        <is>
          <t>軽/重ワーカー分離なし</t>
        </is>
      </c>
      <c r="G82" s="59" t="inlineStr">
        <is>
          <t>軽量(API/DB)と重い(ffmpeg/whisper/pyannote)を分離</t>
        </is>
      </c>
      <c r="H82" s="59" t="inlineStr">
        <is>
          <t>09_implementation_plan(改),12_cost_estimate(改)</t>
        </is>
      </c>
      <c r="I82" s="59" t="inlineStr">
        <is>
          <t>対応</t>
        </is>
      </c>
    </row>
    <row r="83">
      <c r="A83" s="59" t="n">
        <v>79</v>
      </c>
      <c r="B83" s="59" t="inlineStr">
        <is>
          <t>Compl</t>
        </is>
      </c>
      <c r="C83" s="59" t="inlineStr">
        <is>
          <t>MIN</t>
        </is>
      </c>
      <c r="D83" s="59" t="inlineStr">
        <is>
          <t>L-C1</t>
        </is>
      </c>
      <c r="E83" s="59" t="inlineStr">
        <is>
          <t>署名URL長尺</t>
        </is>
      </c>
      <c r="F83" s="59" t="inlineStr">
        <is>
          <t>HLS rolling token無し</t>
        </is>
      </c>
      <c r="G83" s="59" t="inlineStr">
        <is>
          <t>HLSセグメント単位で都度署名URL再発行、ハートビートで延長</t>
        </is>
      </c>
      <c r="H83" s="59" t="inlineStr">
        <is>
          <t>16_compliance_legal(改)</t>
        </is>
      </c>
      <c r="I83" s="59" t="inlineStr">
        <is>
          <t>対応</t>
        </is>
      </c>
    </row>
    <row r="84">
      <c r="A84" s="59" t="n">
        <v>80</v>
      </c>
      <c r="B84" s="59" t="inlineStr">
        <is>
          <t>Compl</t>
        </is>
      </c>
      <c r="C84" s="59" t="inlineStr">
        <is>
          <t>MIN</t>
        </is>
      </c>
      <c r="D84" s="59" t="inlineStr">
        <is>
          <t>L-C2</t>
        </is>
      </c>
      <c r="E84" s="59" t="inlineStr">
        <is>
          <t>CSPレポート</t>
        </is>
      </c>
      <c r="F84" s="59" t="inlineStr">
        <is>
          <t>report-uri/report-to未定義</t>
        </is>
      </c>
      <c r="G84" s="59" t="inlineStr">
        <is>
          <t>Sentry CSPレポート受信、しきい値超でSlack</t>
        </is>
      </c>
      <c r="H84" s="59" t="inlineStr">
        <is>
          <t>23_observability_alerts(改)</t>
        </is>
      </c>
      <c r="I84" s="59" t="inlineStr">
        <is>
          <t>対応</t>
        </is>
      </c>
    </row>
    <row r="85">
      <c r="A85" s="59" t="n">
        <v>81</v>
      </c>
      <c r="B85" s="59" t="inlineStr">
        <is>
          <t>Compl</t>
        </is>
      </c>
      <c r="C85" s="59" t="inlineStr">
        <is>
          <t>MIN</t>
        </is>
      </c>
      <c r="D85" s="59" t="inlineStr">
        <is>
          <t>L-C3</t>
        </is>
      </c>
      <c r="E85" s="59" t="inlineStr">
        <is>
          <t>顧客TZ夜間</t>
        </is>
      </c>
      <c r="F85" s="59" t="inlineStr">
        <is>
          <t>顧客側ローカル23-7時ブロック未明記</t>
        </is>
      </c>
      <c r="G85" s="59" t="inlineStr">
        <is>
          <t>customer_timezones参照で顧客ローカル夜間も送信ブロック</t>
        </is>
      </c>
      <c r="H85" s="59" t="inlineStr">
        <is>
          <t>work_hours強制ロジック</t>
        </is>
      </c>
      <c r="I85" s="59" t="inlineStr">
        <is>
          <t>対応</t>
        </is>
      </c>
    </row>
    <row r="86">
      <c r="A86" s="59" t="n">
        <v>82</v>
      </c>
      <c r="B86" s="59" t="inlineStr">
        <is>
          <t>Compl</t>
        </is>
      </c>
      <c r="C86" s="59" t="inlineStr">
        <is>
          <t>MIN</t>
        </is>
      </c>
      <c r="D86" s="59" t="inlineStr">
        <is>
          <t>L-C4</t>
        </is>
      </c>
      <c r="E86" s="59" t="inlineStr">
        <is>
          <t>委託先一覧</t>
        </is>
      </c>
      <c r="F86" s="59" t="inlineStr">
        <is>
          <t>DPA/サブプロセッサ通知運用未定義</t>
        </is>
      </c>
      <c r="G86" s="59" t="inlineStr">
        <is>
          <t>16_compliance_legal『第三者提供』を『委託先(処理者)一覧』に分け、Anthropic/OpenAI/Cloudflare/Render/Supabaseを明記、追加時30日前事前通知</t>
        </is>
      </c>
      <c r="H86" s="59" t="inlineStr">
        <is>
          <t>16_compliance_legal(改)</t>
        </is>
      </c>
      <c r="I86" s="59" t="inlineStr">
        <is>
          <t>対応</t>
        </is>
      </c>
    </row>
    <row r="87">
      <c r="A87" s="59" t="n">
        <v>83</v>
      </c>
      <c r="B87" s="59" t="inlineStr">
        <is>
          <t>Compl</t>
        </is>
      </c>
      <c r="C87" s="59" t="inlineStr">
        <is>
          <t>MIN</t>
        </is>
      </c>
      <c r="D87" s="59" t="inlineStr">
        <is>
          <t>L-C5</t>
        </is>
      </c>
      <c r="E87" s="59" t="inlineStr">
        <is>
          <t>admin相互監査</t>
        </is>
      </c>
      <c r="F87" s="59" t="inlineStr">
        <is>
          <t>admin同士の監査がない</t>
        </is>
      </c>
      <c r="G87" s="59" t="inlineStr">
        <is>
          <t>root admin(2人)以上の相互レビュー、admin_actionは別テーブル</t>
        </is>
      </c>
      <c r="H87" s="59" t="inlineStr">
        <is>
          <t>16_compliance_legal(改)</t>
        </is>
      </c>
      <c r="I87" s="59" t="inlineStr">
        <is>
          <t>対応</t>
        </is>
      </c>
    </row>
    <row r="88">
      <c r="A88" s="59" t="n">
        <v>84</v>
      </c>
      <c r="B88" s="59" t="inlineStr">
        <is>
          <t>Compl</t>
        </is>
      </c>
      <c r="C88" s="59" t="inlineStr">
        <is>
          <t>MIN</t>
        </is>
      </c>
      <c r="D88" s="59" t="inlineStr">
        <is>
          <t>L-C6</t>
        </is>
      </c>
      <c r="E88" s="59" t="inlineStr">
        <is>
          <t>初回pen test</t>
        </is>
      </c>
      <c r="F88" s="59" t="inlineStr">
        <is>
          <t>P1リリース前pen testなし</t>
        </is>
      </c>
      <c r="G88" s="59" t="inlineStr">
        <is>
          <t>P1終盤(リリース2週前)に初回pen test、年次サイクル開始</t>
        </is>
      </c>
      <c r="H88" s="59" t="inlineStr">
        <is>
          <t>09_implementation_plan(改),16_compliance_legal(改)</t>
        </is>
      </c>
      <c r="I88" s="59" t="inlineStr">
        <is>
          <t>対応</t>
        </is>
      </c>
    </row>
    <row r="90">
      <c r="A90" s="41" t="inlineStr">
        <is>
          <t>■ Round2 minor 反映(v2.2)</t>
        </is>
      </c>
      <c r="B90" s="41" t="n"/>
      <c r="C90" s="41" t="n"/>
      <c r="D90" s="41" t="n"/>
      <c r="E90" s="41" t="n"/>
      <c r="F90" s="41" t="n"/>
      <c r="G90" s="41" t="n"/>
      <c r="H90" s="41" t="n"/>
      <c r="I90" s="41" t="n"/>
    </row>
    <row r="91">
      <c r="A91" s="41" t="inlineStr">
        <is>
          <t>#</t>
        </is>
      </c>
      <c r="B91" s="41" t="inlineStr">
        <is>
          <t>Reviewer</t>
        </is>
      </c>
      <c r="C91" s="41" t="inlineStr">
        <is>
          <t>Severity</t>
        </is>
      </c>
      <c r="D91" s="41" t="inlineStr">
        <is>
          <t>ID</t>
        </is>
      </c>
      <c r="E91" s="41" t="inlineStr">
        <is>
          <t>領域</t>
        </is>
      </c>
      <c r="F91" s="41" t="inlineStr">
        <is>
          <t>指摘</t>
        </is>
      </c>
      <c r="G91" s="41" t="inlineStr">
        <is>
          <t>対応</t>
        </is>
      </c>
      <c r="H91" s="41" t="inlineStr">
        <is>
          <t>関連</t>
        </is>
      </c>
      <c r="I91" s="41" t="inlineStr">
        <is>
          <t>ステータス</t>
        </is>
      </c>
    </row>
    <row r="92">
      <c r="A92" s="41" t="n">
        <v>85</v>
      </c>
      <c r="B92" s="41" t="inlineStr">
        <is>
          <t>UX-R2</t>
        </is>
      </c>
      <c r="C92" s="41" t="inlineStr">
        <is>
          <t>MIN</t>
        </is>
      </c>
      <c r="D92" s="41" t="inlineStr">
        <is>
          <t>NG-1</t>
        </is>
      </c>
      <c r="E92" s="41" t="inlineStr">
        <is>
          <t>21_a11y_i18n</t>
        </is>
      </c>
      <c r="F92" s="41" t="inlineStr">
        <is>
          <t>handedness_setting/reach_zone本体未明記</t>
        </is>
      </c>
      <c r="G92" s="41" t="inlineStr">
        <is>
          <t>21_a11y_i18nに3行追加(handedness/reach_zone/one_handed_audit)+AP-121/122+SC-76</t>
        </is>
      </c>
      <c r="H92" s="41" t="inlineStr">
        <is>
          <t>21/04/02</t>
        </is>
      </c>
      <c r="I92" s="41" t="inlineStr">
        <is>
          <t>対応</t>
        </is>
      </c>
    </row>
    <row r="93">
      <c r="A93" s="41" t="n">
        <v>86</v>
      </c>
      <c r="B93" s="41" t="inlineStr">
        <is>
          <t>UX-R2</t>
        </is>
      </c>
      <c r="C93" s="41" t="inlineStr">
        <is>
          <t>MIN</t>
        </is>
      </c>
      <c r="D93" s="41" t="inlineStr">
        <is>
          <t>NG-2</t>
        </is>
      </c>
      <c r="E93" s="41" t="inlineStr">
        <is>
          <t>SC-66 PWA</t>
        </is>
      </c>
      <c r="F93" s="41" t="inlineStr">
        <is>
          <t>iOS PWA install gate独立画面なし</t>
        </is>
      </c>
      <c r="G93" s="41" t="inlineStr">
        <is>
          <t>SC-75 /onboarding/install-pwa 新設+AP-123</t>
        </is>
      </c>
      <c r="H93" s="41" t="inlineStr">
        <is>
          <t>02/04</t>
        </is>
      </c>
      <c r="I93" s="41" t="inlineStr">
        <is>
          <t>対応</t>
        </is>
      </c>
    </row>
    <row r="94">
      <c r="A94" s="41" t="n">
        <v>87</v>
      </c>
      <c r="B94" s="41" t="inlineStr">
        <is>
          <t>UX-R2</t>
        </is>
      </c>
      <c r="C94" s="41" t="inlineStr">
        <is>
          <t>MIN</t>
        </is>
      </c>
      <c r="D94" s="41" t="inlineStr">
        <is>
          <t>NG-3</t>
        </is>
      </c>
      <c r="E94" s="41" t="inlineStr">
        <is>
          <t>AP-22</t>
        </is>
      </c>
      <c r="F94" s="41" t="inlineStr">
        <is>
          <t>embedding_status response未明記</t>
        </is>
      </c>
      <c r="G94" s="41" t="inlineStr">
        <is>
          <t>AP-22改修(response: embedding_status, impacted_chunks, version)</t>
        </is>
      </c>
      <c r="H94" s="41" t="inlineStr">
        <is>
          <t>04</t>
        </is>
      </c>
      <c r="I94" s="41" t="inlineStr">
        <is>
          <t>対応</t>
        </is>
      </c>
    </row>
    <row r="95">
      <c r="A95" s="41" t="n">
        <v>88</v>
      </c>
      <c r="B95" s="41" t="inlineStr">
        <is>
          <t>UX-R2</t>
        </is>
      </c>
      <c r="C95" s="41" t="inlineStr">
        <is>
          <t>MIN</t>
        </is>
      </c>
      <c r="D95" s="41" t="inlineStr">
        <is>
          <t>NG-4</t>
        </is>
      </c>
      <c r="E95" s="41" t="inlineStr">
        <is>
          <t>16_compliance</t>
        </is>
      </c>
      <c r="F95" s="41" t="inlineStr">
        <is>
          <t>Round1反映1ページ表が無い</t>
        </is>
      </c>
      <c r="G95" s="41" t="inlineStr">
        <is>
          <t>16_compliance_legalに Round1反映一覧表(C-1〜C-6/M-C1〜M-C8/L-C1〜L-C6)を追加</t>
        </is>
      </c>
      <c r="H95" s="41" t="inlineStr">
        <is>
          <t>16</t>
        </is>
      </c>
      <c r="I95" s="41" t="inlineStr">
        <is>
          <t>対応</t>
        </is>
      </c>
    </row>
    <row r="96">
      <c r="A96" s="41" t="n">
        <v>89</v>
      </c>
      <c r="B96" s="41" t="inlineStr">
        <is>
          <t>Tech-R2</t>
        </is>
      </c>
      <c r="C96" s="41" t="inlineStr">
        <is>
          <t>MIN</t>
        </is>
      </c>
      <c r="D96" s="41" t="inlineStr">
        <is>
          <t>N-1</t>
        </is>
      </c>
      <c r="E96" s="41" t="inlineStr">
        <is>
          <t>RAG cost cap</t>
        </is>
      </c>
      <c r="F96" s="41" t="inlineStr">
        <is>
          <t>¥/$算出根拠+為替変動SOPなし</t>
        </is>
      </c>
      <c r="G96" s="41" t="inlineStr">
        <is>
          <t>12_cost_estimateに『LLM cost cap算出基準』追記+為替変動&gt;±10%でポリシー再評価</t>
        </is>
      </c>
      <c r="H96" s="41" t="inlineStr">
        <is>
          <t>12</t>
        </is>
      </c>
      <c r="I96" s="41" t="inlineStr">
        <is>
          <t>対応</t>
        </is>
      </c>
    </row>
    <row r="97">
      <c r="A97" s="41" t="n">
        <v>90</v>
      </c>
      <c r="B97" s="41" t="inlineStr">
        <is>
          <t>Tech-R2</t>
        </is>
      </c>
      <c r="C97" s="41" t="inlineStr">
        <is>
          <t>MIN</t>
        </is>
      </c>
      <c r="D97" s="41" t="inlineStr">
        <is>
          <t>N-2</t>
        </is>
      </c>
      <c r="E97" s="41" t="inlineStr">
        <is>
          <t>HNSW</t>
        </is>
      </c>
      <c r="F97" s="41" t="inlineStr">
        <is>
          <t>ef_search/ef_construction 実測ベンチなし</t>
        </is>
      </c>
      <c r="G97" s="41" t="inlineStr">
        <is>
          <t>18_search_knowledge_qualityに『HNSW ベンチ結果』列追加(P1ローンチ前必須)</t>
        </is>
      </c>
      <c r="H97" s="41" t="inlineStr">
        <is>
          <t>18</t>
        </is>
      </c>
      <c r="I97" s="41" t="inlineStr">
        <is>
          <t>対応</t>
        </is>
      </c>
    </row>
    <row r="98">
      <c r="A98" s="41" t="n">
        <v>91</v>
      </c>
      <c r="B98" s="41" t="inlineStr">
        <is>
          <t>Compl-R2</t>
        </is>
      </c>
      <c r="C98" s="41" t="inlineStr">
        <is>
          <t>MIN</t>
        </is>
      </c>
      <c r="D98" s="41" t="inlineStr">
        <is>
          <t>N-1</t>
        </is>
      </c>
      <c r="E98" s="41" t="inlineStr">
        <is>
          <t>audit chain SLA</t>
        </is>
      </c>
      <c r="F98" s="41" t="inlineStr">
        <is>
          <t>破断→通報までの数値SLAなし</t>
        </is>
      </c>
      <c r="G98" s="41" t="inlineStr">
        <is>
          <t>23_observability_alerts: chain破断検知から通報15分以内 を明記</t>
        </is>
      </c>
      <c r="H98" s="41" t="inlineStr">
        <is>
          <t>23</t>
        </is>
      </c>
      <c r="I98" s="41" t="inlineStr">
        <is>
          <t>対応</t>
        </is>
      </c>
    </row>
    <row r="99">
      <c r="A99" s="41" t="n">
        <v>92</v>
      </c>
      <c r="B99" s="41" t="inlineStr">
        <is>
          <t>Compl-R2</t>
        </is>
      </c>
      <c r="C99" s="41" t="inlineStr">
        <is>
          <t>MIN</t>
        </is>
      </c>
      <c r="D99" s="41" t="inlineStr">
        <is>
          <t>N-2</t>
        </is>
      </c>
      <c r="E99" s="41" t="inlineStr">
        <is>
          <t>ex_employee anon二重承認</t>
        </is>
      </c>
      <c r="F99" s="41" t="inlineStr">
        <is>
          <t>matrixに記載なし</t>
        </is>
      </c>
      <c r="G99" s="41" t="inlineStr">
        <is>
          <t>25のC-6行に『q_anonymize_ex_employee は legal hold判定で admin+legal の二重承認必須』を補記</t>
        </is>
      </c>
      <c r="H99" s="41" t="inlineStr">
        <is>
          <t>25/26</t>
        </is>
      </c>
      <c r="I99" s="41" t="inlineStr">
        <is>
          <t>対応</t>
        </is>
      </c>
    </row>
    <row r="100">
      <c r="A100" s="41" t="n">
        <v>93</v>
      </c>
      <c r="B100" s="41" t="inlineStr">
        <is>
          <t>Compl-R2</t>
        </is>
      </c>
      <c r="C100" s="41" t="inlineStr">
        <is>
          <t>MIN</t>
        </is>
      </c>
      <c r="D100" s="41" t="inlineStr">
        <is>
          <t>N-3</t>
        </is>
      </c>
      <c r="E100" s="41" t="inlineStr">
        <is>
          <t>late_join_pending timeout</t>
        </is>
      </c>
      <c r="F100" s="41" t="inlineStr">
        <is>
          <t>具体値未定義</t>
        </is>
      </c>
      <c r="G100" s="41" t="inlineStr">
        <is>
          <t>14_state_machines: late_join_pending → refused タイムアウト=300秒(5分) を明記</t>
        </is>
      </c>
      <c r="H100" s="41" t="inlineStr">
        <is>
          <t>14</t>
        </is>
      </c>
      <c r="I100" s="41" t="inlineStr">
        <is>
          <t>対応</t>
        </is>
      </c>
    </row>
    <row r="102">
      <c r="A102" s="41" t="inlineStr">
        <is>
          <t>■ v2.3 実演シミュレーション 65件のポインタ</t>
        </is>
      </c>
      <c r="B102" s="41" t="n"/>
      <c r="C102" s="41" t="n"/>
      <c r="D102" s="41" t="n"/>
      <c r="E102" s="41" t="n"/>
      <c r="F102" s="41" t="n"/>
      <c r="G102" s="41" t="n"/>
      <c r="H102" s="41" t="n"/>
      <c r="I102" s="41" t="n"/>
    </row>
    <row r="103">
      <c r="A103" s="41" t="inlineStr">
        <is>
          <t>#</t>
        </is>
      </c>
      <c r="B103" s="41" t="inlineStr">
        <is>
          <t>Reviewer</t>
        </is>
      </c>
      <c r="C103" s="41" t="inlineStr">
        <is>
          <t>Severity</t>
        </is>
      </c>
      <c r="D103" s="41" t="inlineStr">
        <is>
          <t>ID</t>
        </is>
      </c>
      <c r="E103" s="41" t="inlineStr">
        <is>
          <t>領域</t>
        </is>
      </c>
      <c r="F103" s="41" t="inlineStr">
        <is>
          <t>指摘</t>
        </is>
      </c>
      <c r="G103" s="41" t="inlineStr">
        <is>
          <t>対応</t>
        </is>
      </c>
      <c r="H103" s="41" t="inlineStr">
        <is>
          <t>関連</t>
        </is>
      </c>
      <c r="I103" s="41" t="inlineStr">
        <is>
          <t>ステータス</t>
        </is>
      </c>
    </row>
    <row r="104">
      <c r="A104" s="41" t="n">
        <v>94</v>
      </c>
      <c r="B104" s="41" t="inlineStr">
        <is>
          <t>Sim-S1-S5</t>
        </is>
      </c>
      <c r="C104" s="41" t="inlineStr">
        <is>
          <t>-</t>
        </is>
      </c>
      <c r="D104" s="41" t="inlineStr">
        <is>
          <t>-</t>
        </is>
      </c>
      <c r="E104" s="41" t="inlineStr">
        <is>
          <t>S1-S5</t>
        </is>
      </c>
      <c r="F104" s="41" t="inlineStr">
        <is>
          <t>現場演者で発見した摩擦20件</t>
        </is>
      </c>
      <c r="G104" s="41" t="inlineStr">
        <is>
          <t>27_simulation_resolutionsの#1-25を参照</t>
        </is>
      </c>
      <c r="H104" s="41" t="inlineStr">
        <is>
          <t>27</t>
        </is>
      </c>
      <c r="I104" s="41" t="inlineStr">
        <is>
          <t>対応</t>
        </is>
      </c>
    </row>
    <row r="105">
      <c r="A105" s="41" t="n">
        <v>95</v>
      </c>
      <c r="B105" s="41" t="inlineStr">
        <is>
          <t>Sim-S6-S10</t>
        </is>
      </c>
      <c r="C105" s="41" t="inlineStr">
        <is>
          <t>-</t>
        </is>
      </c>
      <c r="D105" s="41" t="inlineStr">
        <is>
          <t>-</t>
        </is>
      </c>
      <c r="E105" s="41" t="inlineStr">
        <is>
          <t>S6-S10</t>
        </is>
      </c>
      <c r="F105" s="41" t="inlineStr">
        <is>
          <t>現場演者で発見した摩擦23件</t>
        </is>
      </c>
      <c r="G105" s="41" t="inlineStr">
        <is>
          <t>27_simulation_resolutionsの#26-47を参照</t>
        </is>
      </c>
      <c r="H105" s="41" t="inlineStr">
        <is>
          <t>27</t>
        </is>
      </c>
      <c r="I105" s="41" t="inlineStr">
        <is>
          <t>対応</t>
        </is>
      </c>
    </row>
    <row r="106">
      <c r="A106" s="41" t="n">
        <v>96</v>
      </c>
      <c r="B106" s="41" t="inlineStr">
        <is>
          <t>Sim-S11-横断</t>
        </is>
      </c>
      <c r="C106" s="41" t="inlineStr">
        <is>
          <t>-</t>
        </is>
      </c>
      <c r="D106" s="41" t="inlineStr">
        <is>
          <t>-</t>
        </is>
      </c>
      <c r="E106" s="41" t="inlineStr">
        <is>
          <t>S11-X</t>
        </is>
      </c>
      <c r="F106" s="41" t="inlineStr">
        <is>
          <t>現場演者で発見した摩擦22件</t>
        </is>
      </c>
      <c r="G106" s="41" t="inlineStr">
        <is>
          <t>27_simulation_resolutionsの#48-68を参照</t>
        </is>
      </c>
      <c r="H106" s="41" t="inlineStr">
        <is>
          <t>27</t>
        </is>
      </c>
      <c r="I106" s="41" t="inlineStr">
        <is>
          <t>対応</t>
        </is>
      </c>
    </row>
    <row r="108">
      <c r="A108" s="41" t="inlineStr">
        <is>
          <t>■ v2.4 ポインタ(再シミュ残課題)</t>
        </is>
      </c>
      <c r="B108" s="41" t="n"/>
      <c r="C108" s="41" t="n"/>
      <c r="D108" s="41" t="n"/>
      <c r="E108" s="41" t="n"/>
      <c r="F108" s="41" t="n"/>
      <c r="G108" s="41" t="n"/>
      <c r="H108" s="41" t="n"/>
      <c r="I108" s="41" t="n"/>
    </row>
    <row r="109">
      <c r="A109" s="41" t="inlineStr">
        <is>
          <t>#</t>
        </is>
      </c>
      <c r="B109" s="41" t="inlineStr">
        <is>
          <t>Reviewer</t>
        </is>
      </c>
      <c r="C109" s="41" t="inlineStr">
        <is>
          <t>Severity</t>
        </is>
      </c>
      <c r="D109" s="41" t="inlineStr">
        <is>
          <t>ID</t>
        </is>
      </c>
      <c r="E109" s="41" t="inlineStr">
        <is>
          <t>領域</t>
        </is>
      </c>
      <c r="F109" s="41" t="inlineStr">
        <is>
          <t>指摘</t>
        </is>
      </c>
      <c r="G109" s="41" t="inlineStr">
        <is>
          <t>対応</t>
        </is>
      </c>
      <c r="H109" s="41" t="inlineStr">
        <is>
          <t>関連</t>
        </is>
      </c>
      <c r="I109" s="41" t="inlineStr">
        <is>
          <t>ステータス</t>
        </is>
      </c>
    </row>
    <row r="110">
      <c r="A110" s="41" t="n">
        <v>97</v>
      </c>
      <c r="B110" s="41" t="inlineStr">
        <is>
          <t>Sim2-S1-S5</t>
        </is>
      </c>
      <c r="C110" s="41" t="inlineStr">
        <is>
          <t>-</t>
        </is>
      </c>
      <c r="D110" s="41" t="inlineStr">
        <is>
          <t>-</t>
        </is>
      </c>
      <c r="E110" s="41" t="inlineStr">
        <is>
          <t>S1-S5</t>
        </is>
      </c>
      <c r="F110" s="41" t="inlineStr">
        <is>
          <t>crit 1+mod 3+min 3 (再演者ラウンド)</t>
        </is>
      </c>
      <c r="G110" s="41" t="inlineStr">
        <is>
          <t>28シートの#1-9参照</t>
        </is>
      </c>
      <c r="H110" s="41" t="inlineStr">
        <is>
          <t>28</t>
        </is>
      </c>
      <c r="I110" s="41" t="inlineStr">
        <is>
          <t>対応</t>
        </is>
      </c>
    </row>
    <row r="111">
      <c r="A111" s="41" t="n">
        <v>98</v>
      </c>
      <c r="B111" s="41" t="inlineStr">
        <is>
          <t>Sim2-S6-S10</t>
        </is>
      </c>
      <c r="C111" s="41" t="inlineStr">
        <is>
          <t>-</t>
        </is>
      </c>
      <c r="D111" s="41" t="inlineStr">
        <is>
          <t>-</t>
        </is>
      </c>
      <c r="E111" s="41" t="inlineStr">
        <is>
          <t>S6-S10</t>
        </is>
      </c>
      <c r="F111" s="41" t="inlineStr">
        <is>
          <t>mod 1+min 3</t>
        </is>
      </c>
      <c r="G111" s="41" t="inlineStr">
        <is>
          <t>28シートの#10-15参照</t>
        </is>
      </c>
      <c r="H111" s="41" t="inlineStr">
        <is>
          <t>28</t>
        </is>
      </c>
      <c r="I111" s="41" t="inlineStr">
        <is>
          <t>対応</t>
        </is>
      </c>
    </row>
    <row r="112">
      <c r="A112" s="41" t="n">
        <v>99</v>
      </c>
      <c r="B112" s="41" t="inlineStr">
        <is>
          <t>Sim2-S11-X</t>
        </is>
      </c>
      <c r="C112" s="41" t="inlineStr">
        <is>
          <t>-</t>
        </is>
      </c>
      <c r="D112" s="41" t="inlineStr">
        <is>
          <t>-</t>
        </is>
      </c>
      <c r="E112" s="41" t="inlineStr">
        <is>
          <t>S11-X</t>
        </is>
      </c>
      <c r="F112" s="41" t="inlineStr">
        <is>
          <t>mod 1+min 3</t>
        </is>
      </c>
      <c r="G112" s="41" t="inlineStr">
        <is>
          <t>28シートの#16-19参照</t>
        </is>
      </c>
      <c r="H112" s="41" t="inlineStr">
        <is>
          <t>28</t>
        </is>
      </c>
      <c r="I112" s="41" t="inlineStr">
        <is>
          <t>対応</t>
        </is>
      </c>
    </row>
    <row r="114">
      <c r="A114" s="41" t="inlineStr">
        <is>
          <t>■ v2.5 ポインタ(R3 minor)</t>
        </is>
      </c>
      <c r="B114" s="41" t="n"/>
      <c r="C114" s="41" t="n"/>
      <c r="D114" s="41" t="n"/>
      <c r="E114" s="41" t="n"/>
      <c r="F114" s="41" t="n"/>
      <c r="G114" s="41" t="n"/>
      <c r="H114" s="41" t="n"/>
      <c r="I114" s="41" t="n"/>
    </row>
    <row r="115">
      <c r="A115" s="41" t="inlineStr">
        <is>
          <t>#</t>
        </is>
      </c>
      <c r="B115" s="41" t="inlineStr">
        <is>
          <t>Reviewer</t>
        </is>
      </c>
      <c r="C115" s="41" t="inlineStr">
        <is>
          <t>Severity</t>
        </is>
      </c>
      <c r="D115" s="41" t="inlineStr">
        <is>
          <t>ID</t>
        </is>
      </c>
      <c r="E115" s="41" t="inlineStr">
        <is>
          <t>領域</t>
        </is>
      </c>
      <c r="F115" s="41" t="inlineStr">
        <is>
          <t>指摘</t>
        </is>
      </c>
      <c r="G115" s="41" t="inlineStr">
        <is>
          <t>対応</t>
        </is>
      </c>
      <c r="H115" s="41" t="inlineStr">
        <is>
          <t>関連</t>
        </is>
      </c>
      <c r="I115" s="41" t="inlineStr">
        <is>
          <t>ステータス</t>
        </is>
      </c>
    </row>
    <row r="116">
      <c r="A116" s="41" t="n">
        <v>100</v>
      </c>
      <c r="B116" s="41" t="inlineStr">
        <is>
          <t>Sim3-S1-S5</t>
        </is>
      </c>
      <c r="C116" s="41" t="inlineStr">
        <is>
          <t>-</t>
        </is>
      </c>
      <c r="D116" s="41" t="inlineStr">
        <is>
          <t>-</t>
        </is>
      </c>
      <c r="E116" s="41" t="inlineStr">
        <is>
          <t>S1-S5</t>
        </is>
      </c>
      <c r="F116" s="41" t="inlineStr">
        <is>
          <t>R3 minor 3件</t>
        </is>
      </c>
      <c r="G116" s="41" t="inlineStr">
        <is>
          <t>29シート#5,6,7参照</t>
        </is>
      </c>
      <c r="H116" s="41" t="inlineStr">
        <is>
          <t>29</t>
        </is>
      </c>
      <c r="I116" s="41" t="inlineStr">
        <is>
          <t>対応</t>
        </is>
      </c>
    </row>
    <row r="117">
      <c r="A117" s="41" t="n">
        <v>101</v>
      </c>
      <c r="B117" s="41" t="inlineStr">
        <is>
          <t>Sim3-S6-S10</t>
        </is>
      </c>
      <c r="C117" s="41" t="inlineStr">
        <is>
          <t>-</t>
        </is>
      </c>
      <c r="D117" s="41" t="inlineStr">
        <is>
          <t>-</t>
        </is>
      </c>
      <c r="E117" s="41" t="inlineStr">
        <is>
          <t>S6-S10</t>
        </is>
      </c>
      <c r="F117" s="41" t="inlineStr">
        <is>
          <t>R3 minor 3件</t>
        </is>
      </c>
      <c r="G117" s="41" t="inlineStr">
        <is>
          <t>29シート#1?,8,9,10参照</t>
        </is>
      </c>
      <c r="H117" s="41" t="inlineStr">
        <is>
          <t>29</t>
        </is>
      </c>
      <c r="I117" s="41" t="inlineStr">
        <is>
          <t>対応</t>
        </is>
      </c>
    </row>
    <row r="118">
      <c r="A118" s="41" t="n">
        <v>102</v>
      </c>
      <c r="B118" s="41" t="inlineStr">
        <is>
          <t>Sim3-S11-X</t>
        </is>
      </c>
      <c r="C118" s="41" t="inlineStr">
        <is>
          <t>-</t>
        </is>
      </c>
      <c r="D118" s="41" t="inlineStr">
        <is>
          <t>-</t>
        </is>
      </c>
      <c r="E118" s="41" t="inlineStr">
        <is>
          <t>S11-X</t>
        </is>
      </c>
      <c r="F118" s="41" t="inlineStr">
        <is>
          <t>R3 minor 4件</t>
        </is>
      </c>
      <c r="G118" s="41" t="inlineStr">
        <is>
          <t>29シート#1,2,3,4参照</t>
        </is>
      </c>
      <c r="H118" s="41" t="inlineStr">
        <is>
          <t>29</t>
        </is>
      </c>
      <c r="I118" s="41" t="inlineStr">
        <is>
          <t>対応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6" customWidth="1" style="28" min="2" max="2"/>
    <col width="35" customWidth="1" style="28" min="3" max="3"/>
    <col width="25" customWidth="1" style="28" min="4" max="4"/>
    <col width="12" customWidth="1" style="28" min="5" max="5"/>
    <col width="25" customWidth="1" style="28" min="6" max="6"/>
    <col width="6" customWidth="1" style="28" min="7" max="7"/>
  </cols>
  <sheetData>
    <row r="1">
      <c r="A1" s="56" t="inlineStr">
        <is>
          <t>退職処理SOP</t>
        </is>
      </c>
    </row>
    <row r="2">
      <c r="A2" s="57" t="inlineStr">
        <is>
          <t>人員退職時のチェックリスト(M-1〜M+30)、所有権移管、legal hold、可搬性</t>
        </is>
      </c>
    </row>
    <row r="4">
      <c r="A4" s="58" t="inlineStr">
        <is>
          <t>タイミング</t>
        </is>
      </c>
      <c r="B4" s="58" t="inlineStr">
        <is>
          <t>ID</t>
        </is>
      </c>
      <c r="C4" s="58" t="inlineStr">
        <is>
          <t>アクション</t>
        </is>
      </c>
      <c r="D4" s="58" t="inlineStr">
        <is>
          <t>対象システム/テーブル</t>
        </is>
      </c>
      <c r="E4" s="58" t="inlineStr">
        <is>
          <t>責任者</t>
        </is>
      </c>
      <c r="F4" s="58" t="inlineStr">
        <is>
          <t>エビデンス</t>
        </is>
      </c>
      <c r="G4" s="58" t="inlineStr">
        <is>
          <t>Phase</t>
        </is>
      </c>
    </row>
    <row r="5">
      <c r="A5" s="59" t="inlineStr">
        <is>
          <t>M-1(退職1ヶ月前)</t>
        </is>
      </c>
      <c r="B5" s="59" t="inlineStr">
        <is>
          <t>O-01</t>
        </is>
      </c>
      <c r="C5" s="59" t="inlineStr">
        <is>
          <t>人事から退職通知受領+offboarding ticket起票</t>
        </is>
      </c>
      <c r="D5" s="59" t="inlineStr">
        <is>
          <t>HR, /admin/offboarding</t>
        </is>
      </c>
      <c r="E5" s="59" t="inlineStr">
        <is>
          <t>HR+IT</t>
        </is>
      </c>
      <c r="F5" s="59" t="inlineStr">
        <is>
          <t>ticket_id</t>
        </is>
      </c>
      <c r="G5" s="59" t="inlineStr">
        <is>
          <t>P2</t>
        </is>
      </c>
    </row>
    <row r="6">
      <c r="A6" s="59" t="inlineStr">
        <is>
          <t>M-1</t>
        </is>
      </c>
      <c r="B6" s="59" t="inlineStr">
        <is>
          <t>O-02</t>
        </is>
      </c>
      <c r="C6" s="59" t="inlineStr">
        <is>
          <t>引き継ぎ計画作成(担当顧客リスト+優先度)</t>
        </is>
      </c>
      <c r="D6" s="59" t="inlineStr">
        <is>
          <t>contacts/meetings/contracts</t>
        </is>
      </c>
      <c r="E6" s="59" t="inlineStr">
        <is>
          <t>退職者+manager</t>
        </is>
      </c>
      <c r="F6" s="59" t="inlineStr">
        <is>
          <t>plan.md</t>
        </is>
      </c>
      <c r="G6" s="59" t="inlineStr">
        <is>
          <t>P2</t>
        </is>
      </c>
    </row>
    <row r="7">
      <c r="A7" s="59" t="inlineStr">
        <is>
          <t>M-7</t>
        </is>
      </c>
      <c r="B7" s="59" t="inlineStr">
        <is>
          <t>O-03</t>
        </is>
      </c>
      <c r="C7" s="59" t="inlineStr">
        <is>
          <t>所有権移管プレビュー(担当顧客→新担当)</t>
        </is>
      </c>
      <c r="D7" s="59" t="inlineStr">
        <is>
          <t>contacts.owner, meetings.owner</t>
        </is>
      </c>
      <c r="E7" s="59" t="inlineStr">
        <is>
          <t>manager</t>
        </is>
      </c>
      <c r="F7" s="59" t="inlineStr">
        <is>
          <t>preview UI</t>
        </is>
      </c>
      <c r="G7" s="59" t="inlineStr">
        <is>
          <t>P2</t>
        </is>
      </c>
    </row>
    <row r="8">
      <c r="A8" s="59" t="inlineStr">
        <is>
          <t>M-1〜M-Day</t>
        </is>
      </c>
      <c r="B8" s="59" t="inlineStr">
        <is>
          <t>O-04</t>
        </is>
      </c>
      <c r="C8" s="59" t="inlineStr">
        <is>
          <t>ロープレ知見・top phrases の本人合意確認(継続公開可否)</t>
        </is>
      </c>
      <c r="D8" s="59" t="inlineStr">
        <is>
          <t>top_performer_phrases</t>
        </is>
      </c>
      <c r="E8" s="59" t="inlineStr">
        <is>
          <t>退職者+manager</t>
        </is>
      </c>
      <c r="F8" s="59" t="inlineStr">
        <is>
          <t>consent_log</t>
        </is>
      </c>
      <c r="G8" s="59" t="inlineStr">
        <is>
          <t>P3</t>
        </is>
      </c>
    </row>
    <row r="9">
      <c r="A9" s="59" t="inlineStr">
        <is>
          <t>M-Day(退職当日)</t>
        </is>
      </c>
      <c r="B9" s="59" t="inlineStr">
        <is>
          <t>O-05</t>
        </is>
      </c>
      <c r="C9" s="59" t="inlineStr">
        <is>
          <t>Google/Zoom OAuth revoke(即時)</t>
        </is>
      </c>
      <c r="D9" s="59" t="inlineStr">
        <is>
          <t>user_oauth_tokens</t>
        </is>
      </c>
      <c r="E9" s="59" t="inlineStr">
        <is>
          <t>IT</t>
        </is>
      </c>
      <c r="F9" s="59" t="inlineStr">
        <is>
          <t>audit_logs</t>
        </is>
      </c>
      <c r="G9" s="59" t="inlineStr">
        <is>
          <t>P1</t>
        </is>
      </c>
    </row>
    <row r="10">
      <c r="A10" s="59" t="inlineStr">
        <is>
          <t>M-Day</t>
        </is>
      </c>
      <c r="B10" s="59" t="inlineStr">
        <is>
          <t>O-06</t>
        </is>
      </c>
      <c r="C10" s="59" t="inlineStr">
        <is>
          <t>ログイン無効化(is_active=false)+セッション全終了</t>
        </is>
      </c>
      <c r="D10" s="59" t="inlineStr">
        <is>
          <t>users</t>
        </is>
      </c>
      <c r="E10" s="59" t="inlineStr">
        <is>
          <t>IT</t>
        </is>
      </c>
      <c r="F10" s="59" t="inlineStr">
        <is>
          <t>audit_logs</t>
        </is>
      </c>
      <c r="G10" s="59" t="inlineStr">
        <is>
          <t>P1</t>
        </is>
      </c>
    </row>
    <row r="11">
      <c r="A11" s="59" t="inlineStr">
        <is>
          <t>M-Day</t>
        </is>
      </c>
      <c r="B11" s="59" t="inlineStr">
        <is>
          <t>O-07</t>
        </is>
      </c>
      <c r="C11" s="59" t="inlineStr">
        <is>
          <t>所有権移管実行(contacts/meetings/handoffs/contractsのowner更新)</t>
        </is>
      </c>
      <c r="D11" s="59" t="inlineStr">
        <is>
          <t>主要テーブル</t>
        </is>
      </c>
      <c r="E11" s="59" t="inlineStr">
        <is>
          <t>IT(script)</t>
        </is>
      </c>
      <c r="F11" s="59" t="inlineStr">
        <is>
          <t>audit_logs</t>
        </is>
      </c>
      <c r="G11" s="59" t="inlineStr">
        <is>
          <t>P2</t>
        </is>
      </c>
    </row>
    <row r="12">
      <c r="A12" s="59" t="inlineStr">
        <is>
          <t>M-Day</t>
        </is>
      </c>
      <c r="B12" s="59" t="inlineStr">
        <is>
          <t>O-08</t>
        </is>
      </c>
      <c r="C12" s="59" t="inlineStr">
        <is>
          <t>代理権限(delegate_grants)失効</t>
        </is>
      </c>
      <c r="D12" s="59" t="inlineStr">
        <is>
          <t>delegate_grants</t>
        </is>
      </c>
      <c r="E12" s="59" t="inlineStr">
        <is>
          <t>IT(script)</t>
        </is>
      </c>
      <c r="F12" s="59" t="inlineStr">
        <is>
          <t>audit_logs</t>
        </is>
      </c>
      <c r="G12" s="59" t="inlineStr">
        <is>
          <t>P2</t>
        </is>
      </c>
    </row>
    <row r="13">
      <c r="A13" s="59" t="inlineStr">
        <is>
          <t>M-Day</t>
        </is>
      </c>
      <c r="B13" s="59" t="inlineStr">
        <is>
          <t>O-09</t>
        </is>
      </c>
      <c r="C13" s="59" t="inlineStr">
        <is>
          <t>feature flagsとAB割当の引き継ぎ確認</t>
        </is>
      </c>
      <c r="D13" s="59" t="inlineStr">
        <is>
          <t>feature_flags,ab_test_assignments</t>
        </is>
      </c>
      <c r="E13" s="59" t="inlineStr">
        <is>
          <t>IT</t>
        </is>
      </c>
      <c r="F13" s="59" t="inlineStr">
        <is>
          <t>-</t>
        </is>
      </c>
      <c r="G13" s="59" t="inlineStr">
        <is>
          <t>P2</t>
        </is>
      </c>
    </row>
    <row r="14">
      <c r="A14" s="59" t="inlineStr">
        <is>
          <t>M-Day</t>
        </is>
      </c>
      <c r="B14" s="59" t="inlineStr">
        <is>
          <t>O-10</t>
        </is>
      </c>
      <c r="C14" s="59" t="inlineStr">
        <is>
          <t>退職者発言ポリシー判定(legal hold有無→retain/anonymize/delete)</t>
        </is>
      </c>
      <c r="D14" s="59" t="inlineStr">
        <is>
          <t>ex_employee_speech_policies,recording_segments</t>
        </is>
      </c>
      <c r="E14" s="59" t="inlineStr">
        <is>
          <t>admin+legal</t>
        </is>
      </c>
      <c r="F14" s="59" t="inlineStr">
        <is>
          <t>decision_log</t>
        </is>
      </c>
      <c r="G14" s="59" t="inlineStr">
        <is>
          <t>P3</t>
        </is>
      </c>
    </row>
    <row r="15">
      <c r="A15" s="59" t="inlineStr">
        <is>
          <t>M-Day+1</t>
        </is>
      </c>
      <c r="B15" s="59" t="inlineStr">
        <is>
          <t>O-11</t>
        </is>
      </c>
      <c r="C15" s="59" t="inlineStr">
        <is>
          <t>本人へのデータ可搬性提供(個人発言のexport)</t>
        </is>
      </c>
      <c r="D15" s="59" t="inlineStr">
        <is>
          <t>data_exports</t>
        </is>
      </c>
      <c r="E15" s="59" t="inlineStr">
        <is>
          <t>IT</t>
        </is>
      </c>
      <c r="F15" s="59" t="inlineStr">
        <is>
          <t>export_url+本人受領</t>
        </is>
      </c>
      <c r="G15" s="59" t="inlineStr">
        <is>
          <t>P3</t>
        </is>
      </c>
    </row>
    <row r="16">
      <c r="A16" s="59" t="inlineStr">
        <is>
          <t>M-Day+1</t>
        </is>
      </c>
      <c r="B16" s="59" t="inlineStr">
        <is>
          <t>O-12</t>
        </is>
      </c>
      <c r="C16" s="59" t="inlineStr">
        <is>
          <t>q_anonymize_ex_employee 起動(legal hold行はskip+アラート)</t>
        </is>
      </c>
      <c r="D16" s="59" t="inlineStr">
        <is>
          <t>recording_segments,roleplay_sessions</t>
        </is>
      </c>
      <c r="E16" s="59" t="inlineStr">
        <is>
          <t>worker</t>
        </is>
      </c>
      <c r="F16" s="59" t="inlineStr">
        <is>
          <t>job_log+audit</t>
        </is>
      </c>
      <c r="G16" s="59" t="inlineStr">
        <is>
          <t>P3</t>
        </is>
      </c>
    </row>
    <row r="17">
      <c r="A17" s="59" t="inlineStr">
        <is>
          <t>M+7</t>
        </is>
      </c>
      <c r="B17" s="59" t="inlineStr">
        <is>
          <t>O-13</t>
        </is>
      </c>
      <c r="C17" s="59" t="inlineStr">
        <is>
          <t>残作業の引き継ぎ完了確認(handoff差し戻しなし)</t>
        </is>
      </c>
      <c r="D17" s="59" t="inlineStr">
        <is>
          <t>handoffs</t>
        </is>
      </c>
      <c r="E17" s="59" t="inlineStr">
        <is>
          <t>manager</t>
        </is>
      </c>
      <c r="F17" s="59" t="inlineStr">
        <is>
          <t>status=approved</t>
        </is>
      </c>
      <c r="G17" s="59" t="inlineStr">
        <is>
          <t>P2</t>
        </is>
      </c>
    </row>
    <row r="18">
      <c r="A18" s="59" t="inlineStr">
        <is>
          <t>M+30</t>
        </is>
      </c>
      <c r="B18" s="59" t="inlineStr">
        <is>
          <t>O-14</t>
        </is>
      </c>
      <c r="C18" s="59" t="inlineStr">
        <is>
          <t>退職処理完了レビュー(audit_logsで全アクション確認)</t>
        </is>
      </c>
      <c r="D18" s="59" t="inlineStr">
        <is>
          <t>audit_logs,dangerous_action_audits</t>
        </is>
      </c>
      <c r="E18" s="59" t="inlineStr">
        <is>
          <t>admin</t>
        </is>
      </c>
      <c r="F18" s="59" t="inlineStr">
        <is>
          <t>monthly review record</t>
        </is>
      </c>
      <c r="G18" s="59" t="inlineStr">
        <is>
          <t>P2</t>
        </is>
      </c>
    </row>
    <row r="19">
      <c r="A19" s="59" t="inlineStr">
        <is>
          <t>M+60</t>
        </is>
      </c>
      <c r="B19" s="59" t="inlineStr">
        <is>
          <t>O-15</t>
        </is>
      </c>
      <c r="C19" s="59" t="inlineStr">
        <is>
          <t>退職者個人データの最終削除/再評価</t>
        </is>
      </c>
      <c r="D19" s="59" t="inlineStr">
        <is>
          <t>users(soft delete→purge),recordings(retention再評価)</t>
        </is>
      </c>
      <c r="E19" s="59" t="inlineStr">
        <is>
          <t>admin</t>
        </is>
      </c>
      <c r="F19" s="59" t="inlineStr">
        <is>
          <t>purge audit</t>
        </is>
      </c>
      <c r="G19" s="59" t="inlineStr">
        <is>
          <t>P2</t>
        </is>
      </c>
    </row>
    <row r="20">
      <c r="A20" s="59" t="inlineStr">
        <is>
          <t>継続</t>
        </is>
      </c>
      <c r="B20" s="59" t="inlineStr">
        <is>
          <t>O-16</t>
        </is>
      </c>
      <c r="C20" s="59" t="inlineStr">
        <is>
          <t>legal hold対象は法務終了まで保持(退職者アクセスは無)</t>
        </is>
      </c>
      <c r="D20" s="59" t="inlineStr">
        <is>
          <t>ex_employee_speech_policies</t>
        </is>
      </c>
      <c r="E20" s="59" t="inlineStr">
        <is>
          <t>legal</t>
        </is>
      </c>
      <c r="F20" s="59" t="inlineStr">
        <is>
          <t>hold_log</t>
        </is>
      </c>
      <c r="G20" s="59" t="inlineStr">
        <is>
          <t>P3</t>
        </is>
      </c>
    </row>
    <row r="22">
      <c r="A22" s="41" t="inlineStr">
        <is>
          <t>■ Round2指摘反映追加(v2.2)</t>
        </is>
      </c>
      <c r="B22" s="41" t="n"/>
      <c r="C22" s="41" t="n"/>
      <c r="D22" s="41" t="n"/>
      <c r="E22" s="41" t="n"/>
      <c r="F22" s="41" t="n"/>
      <c r="G22" s="41" t="n"/>
    </row>
    <row r="23">
      <c r="A23" s="41" t="inlineStr">
        <is>
          <t>タイミング</t>
        </is>
      </c>
      <c r="B23" s="41" t="inlineStr">
        <is>
          <t>ID</t>
        </is>
      </c>
      <c r="C23" s="41" t="inlineStr">
        <is>
          <t>アクション</t>
        </is>
      </c>
      <c r="D23" s="41" t="inlineStr">
        <is>
          <t>対象システム/テーブル</t>
        </is>
      </c>
      <c r="E23" s="41" t="inlineStr">
        <is>
          <t>責任者</t>
        </is>
      </c>
      <c r="F23" s="41" t="inlineStr">
        <is>
          <t>エビデンス</t>
        </is>
      </c>
      <c r="G23" s="41" t="inlineStr">
        <is>
          <t>Phase</t>
        </is>
      </c>
    </row>
    <row r="24">
      <c r="A24" s="41" t="inlineStr">
        <is>
          <t>M-Day(改)</t>
        </is>
      </c>
      <c r="B24" s="41" t="inlineStr">
        <is>
          <t>O-10b</t>
        </is>
      </c>
      <c r="C24" s="41" t="inlineStr">
        <is>
          <t>退職者発言ポリシーの legal hold 判定は admin+legal の二重承認(N-2)</t>
        </is>
      </c>
      <c r="D24" s="41" t="inlineStr">
        <is>
          <t>ex_employee_speech_policies+legal_disclosure_requests</t>
        </is>
      </c>
      <c r="E24" s="41" t="inlineStr">
        <is>
          <t>admin+legal</t>
        </is>
      </c>
      <c r="F24" s="41" t="inlineStr">
        <is>
          <t>dual_approval_log</t>
        </is>
      </c>
      <c r="G24" s="41" t="inlineStr">
        <is>
          <t>P3</t>
        </is>
      </c>
    </row>
    <row r="25">
      <c r="A25" s="41" t="inlineStr">
        <is>
          <t>M-Day(改)</t>
        </is>
      </c>
      <c r="B25" s="41" t="inlineStr">
        <is>
          <t>O-12b</t>
        </is>
      </c>
      <c r="C25" s="41" t="inlineStr">
        <is>
          <t>q_anonymize_ex_employee は legal_hold=true 行を skip+アラート(承認後のみ実行)</t>
        </is>
      </c>
      <c r="D25" s="41" t="inlineStr">
        <is>
          <t>recording_segments+roleplay_sessions</t>
        </is>
      </c>
      <c r="E25" s="41" t="inlineStr">
        <is>
          <t>worker</t>
        </is>
      </c>
      <c r="F25" s="41" t="inlineStr">
        <is>
          <t>job_log+audit</t>
        </is>
      </c>
      <c r="G25" s="41" t="inlineStr">
        <is>
          <t>P3</t>
        </is>
      </c>
    </row>
    <row r="27">
      <c r="A27" s="41" t="inlineStr">
        <is>
          <t>■ v2.3 修正(F-S12-1: O-11前倒し)</t>
        </is>
      </c>
      <c r="B27" s="41" t="n"/>
      <c r="C27" s="41" t="n"/>
      <c r="D27" s="41" t="n"/>
      <c r="E27" s="41" t="n"/>
      <c r="F27" s="41" t="n"/>
      <c r="G27" s="41" t="n"/>
    </row>
    <row r="28">
      <c r="A28" s="41" t="inlineStr">
        <is>
          <t>タイミング</t>
        </is>
      </c>
      <c r="B28" s="41" t="inlineStr">
        <is>
          <t>ID</t>
        </is>
      </c>
      <c r="C28" s="41" t="inlineStr">
        <is>
          <t>アクション</t>
        </is>
      </c>
      <c r="D28" s="41" t="inlineStr">
        <is>
          <t>対象システム/テーブル</t>
        </is>
      </c>
      <c r="E28" s="41" t="inlineStr">
        <is>
          <t>責任者</t>
        </is>
      </c>
      <c r="F28" s="41" t="inlineStr">
        <is>
          <t>エビデンス</t>
        </is>
      </c>
      <c r="G28" s="41" t="inlineStr">
        <is>
          <t>Phase</t>
        </is>
      </c>
    </row>
    <row r="29">
      <c r="A29" s="41" t="inlineStr">
        <is>
          <t>M-Day 16:00(改)</t>
        </is>
      </c>
      <c r="B29" s="41" t="inlineStr">
        <is>
          <t>O-11(改)</t>
        </is>
      </c>
      <c r="C29" s="41" t="inlineStr">
        <is>
          <t>本人へのデータ可搬性提供を **OAuth revoke前** に完了。Zoom録画/Gmail/Calendar 等外部API依存データはここで完全DL</t>
        </is>
      </c>
      <c r="D29" s="41" t="inlineStr">
        <is>
          <t>data_exports + Zoom downloader + Gmail export</t>
        </is>
      </c>
      <c r="E29" s="41" t="inlineStr">
        <is>
          <t>IT(script)</t>
        </is>
      </c>
      <c r="F29" s="41" t="inlineStr">
        <is>
          <t>export_url+本人受領+完了ログ</t>
        </is>
      </c>
      <c r="G29" s="41" t="inlineStr">
        <is>
          <t>P2</t>
        </is>
      </c>
    </row>
    <row r="30">
      <c r="A30" s="41" t="inlineStr">
        <is>
          <t>M-Day 16:30</t>
        </is>
      </c>
      <c r="B30" s="41" t="inlineStr">
        <is>
          <t>O-05(改)</t>
        </is>
      </c>
      <c r="C30" s="41" t="inlineStr">
        <is>
          <t>O-11完了確認後にGoogle/Zoom OAuth revoke</t>
        </is>
      </c>
      <c r="D30" s="41" t="inlineStr">
        <is>
          <t>user_oauth_tokens</t>
        </is>
      </c>
      <c r="E30" s="41" t="inlineStr">
        <is>
          <t>IT</t>
        </is>
      </c>
      <c r="F30" s="41" t="inlineStr">
        <is>
          <t>audit_logs</t>
        </is>
      </c>
      <c r="G30" s="41" t="inlineStr">
        <is>
          <t>P1</t>
        </is>
      </c>
    </row>
    <row r="31">
      <c r="A31" s="41" t="inlineStr">
        <is>
          <t>M-Day</t>
        </is>
      </c>
      <c r="B31" s="41" t="inlineStr">
        <is>
          <t>O-17</t>
        </is>
      </c>
      <c r="C31" s="41" t="inlineStr">
        <is>
          <t>退職者デバイスのリモートwipe確認(IndexedDB+SW cache)</t>
        </is>
      </c>
      <c r="D31" s="41" t="inlineStr">
        <is>
          <t>client_devices(新)+push</t>
        </is>
      </c>
      <c r="E31" s="41" t="inlineStr">
        <is>
          <t>IT</t>
        </is>
      </c>
      <c r="F31" s="41" t="inlineStr">
        <is>
          <t>wipe_audit</t>
        </is>
      </c>
      <c r="G31" s="41" t="inlineStr">
        <is>
          <t>P1</t>
        </is>
      </c>
    </row>
    <row r="33">
      <c r="A33" s="41" t="inlineStr">
        <is>
          <t>■ v2.4 追加(再シミュ残課題)</t>
        </is>
      </c>
      <c r="B33" s="41" t="n"/>
      <c r="C33" s="41" t="n"/>
      <c r="D33" s="41" t="n"/>
      <c r="E33" s="41" t="n"/>
      <c r="F33" s="41" t="n"/>
      <c r="G33" s="41" t="n"/>
    </row>
    <row r="34">
      <c r="A34" s="41" t="inlineStr">
        <is>
          <t>タイミング</t>
        </is>
      </c>
      <c r="B34" s="41" t="inlineStr">
        <is>
          <t>ID</t>
        </is>
      </c>
      <c r="C34" s="41" t="inlineStr">
        <is>
          <t>アクション</t>
        </is>
      </c>
      <c r="D34" s="41" t="inlineStr">
        <is>
          <t>対象システム/テーブル</t>
        </is>
      </c>
      <c r="E34" s="41" t="inlineStr">
        <is>
          <t>責任者</t>
        </is>
      </c>
      <c r="F34" s="41" t="inlineStr">
        <is>
          <t>エビデンス</t>
        </is>
      </c>
      <c r="G34" s="41" t="inlineStr">
        <is>
          <t>Phase</t>
        </is>
      </c>
    </row>
    <row r="35">
      <c r="A35" s="41" t="inlineStr">
        <is>
          <t>M-Day(改)</t>
        </is>
      </c>
      <c r="B35" s="41" t="inlineStr">
        <is>
          <t>O-05c</t>
        </is>
      </c>
      <c r="C35" s="41" t="inlineStr">
        <is>
          <t>verbal同意でロックされた pre_consent_audio_buffers.verbal_proof_locked=true 行はretention policyに基づき個別保持(O-05のwipeでも対象外)</t>
        </is>
      </c>
      <c r="D35" s="41" t="inlineStr">
        <is>
          <t>pre_consent_audio_buffers</t>
        </is>
      </c>
      <c r="E35" s="41" t="inlineStr">
        <is>
          <t>IT+legal</t>
        </is>
      </c>
      <c r="F35" s="41" t="inlineStr">
        <is>
          <t>retention_log</t>
        </is>
      </c>
      <c r="G35" s="41" t="inlineStr">
        <is>
          <t>P2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4" customWidth="1" style="28" min="1" max="1"/>
    <col width="10" customWidth="1" style="28" min="2" max="2"/>
    <col width="8" customWidth="1" style="28" min="3" max="3"/>
    <col width="18" customWidth="1" style="28" min="4" max="4"/>
    <col width="45" customWidth="1" style="28" min="5" max="5"/>
    <col width="50" customWidth="1" style="28" min="6" max="6"/>
    <col width="24" customWidth="1" style="28" min="7" max="7"/>
    <col width="8" customWidth="1" style="28" min="8" max="8"/>
  </cols>
  <sheetData>
    <row r="1">
      <c r="A1" s="56" t="inlineStr">
        <is>
          <t>実演シミュレーション 65件の対応一覧(v2.3)</t>
        </is>
      </c>
    </row>
    <row r="2">
      <c r="A2" s="57" t="inlineStr">
        <is>
          <t>ペルソナ実演で見つかった摩擦点(Crit 17/Mod 33/Min 15)の対応マトリクス</t>
        </is>
      </c>
    </row>
    <row r="4">
      <c r="A4" s="58" t="inlineStr">
        <is>
          <t>#</t>
        </is>
      </c>
      <c r="B4" s="58" t="inlineStr">
        <is>
          <t>ID</t>
        </is>
      </c>
      <c r="C4" s="58" t="inlineStr">
        <is>
          <t>Severity</t>
        </is>
      </c>
      <c r="D4" s="58" t="inlineStr">
        <is>
          <t>Scene/Persona</t>
        </is>
      </c>
      <c r="E4" s="58" t="inlineStr">
        <is>
          <t>摩擦</t>
        </is>
      </c>
      <c r="F4" s="58" t="inlineStr">
        <is>
          <t>対応(v2.3)</t>
        </is>
      </c>
      <c r="G4" s="58" t="inlineStr">
        <is>
          <t>関連シート/テーブル/API</t>
        </is>
      </c>
      <c r="H4" s="58" t="inlineStr">
        <is>
          <t>ステータス</t>
        </is>
      </c>
    </row>
    <row r="5">
      <c r="A5" s="59" t="n">
        <v>1</v>
      </c>
      <c r="B5" s="59" t="inlineStr">
        <is>
          <t>F-S1-1</t>
        </is>
      </c>
      <c r="C5" s="59" t="inlineStr">
        <is>
          <t>CRIT</t>
        </is>
      </c>
      <c r="D5" s="59" t="inlineStr">
        <is>
          <t>S1 田中/満員電車</t>
        </is>
      </c>
      <c r="E5" s="59" t="inlineStr">
        <is>
          <t>片手×揺れでAutoShutter不発、手動シャッターのリーチが片手で届かない</t>
        </is>
      </c>
      <c r="F5" s="59" t="inlineStr">
        <is>
          <t>SC-33にfallback_capture_mode追加(volume_button_shutter/long_press_shutter/voice_command/3秒静止緩和)。SC-76 handedness設定をP1昇格。揺れ検知時はAutoShutter静止判定3秒→1秒に動的緩和</t>
        </is>
      </c>
      <c r="G5" s="59" t="inlineStr">
        <is>
          <t>SC-33,SC-76(P1昇格)</t>
        </is>
      </c>
      <c r="H5" s="59" t="inlineStr">
        <is>
          <t>対応</t>
        </is>
      </c>
    </row>
    <row r="6">
      <c r="A6" s="59" t="n">
        <v>2</v>
      </c>
      <c r="B6" s="59" t="inlineStr">
        <is>
          <t>F-S1-2</t>
        </is>
      </c>
      <c r="C6" s="59" t="inlineStr">
        <is>
          <t>MOD</t>
        </is>
      </c>
      <c r="D6" s="59" t="inlineStr">
        <is>
          <t>S1 田中</t>
        </is>
      </c>
      <c r="E6" s="59" t="inlineStr">
        <is>
          <t>低信頼度名刺の確認UIが必須化されモバイル中の流れが止まる</t>
        </is>
      </c>
      <c r="F6" s="59" t="inlineStr">
        <is>
          <t>AP-50にstatus='deferred_review'追加、モバイル側は赤バッジだけで即次撮影、/contacts/import に未レビュー◯件バッジ+SC-08 batch_review_modeへdeeplink</t>
        </is>
      </c>
      <c r="G6" s="59" t="inlineStr">
        <is>
          <t>AP-50,SC-06,SC-08</t>
        </is>
      </c>
      <c r="H6" s="59" t="inlineStr">
        <is>
          <t>対応</t>
        </is>
      </c>
    </row>
    <row r="7">
      <c r="A7" s="59" t="n">
        <v>3</v>
      </c>
      <c r="B7" s="59" t="inlineStr">
        <is>
          <t>F-S1-3</t>
        </is>
      </c>
      <c r="C7" s="59" t="inlineStr">
        <is>
          <t>MOD</t>
        </is>
      </c>
      <c r="D7" s="59" t="inlineStr">
        <is>
          <t>S1 田中</t>
        </is>
      </c>
      <c r="E7" s="59" t="inlineStr">
        <is>
          <t>取込開始時にイベントタグ忘れ→後付け一括の動線無し</t>
        </is>
      </c>
      <c r="F7" s="59" t="inlineStr">
        <is>
          <t>SC-04 BulkActionsに『選択中のコンタクトにイベントタグ付与』、SC-33ヘッダーチップで取り込み中もイベント切替可</t>
        </is>
      </c>
      <c r="G7" s="59" t="inlineStr">
        <is>
          <t>SC-04,SC-33</t>
        </is>
      </c>
      <c r="H7" s="59" t="inlineStr">
        <is>
          <t>対応</t>
        </is>
      </c>
    </row>
    <row r="8">
      <c r="A8" s="59" t="n">
        <v>4</v>
      </c>
      <c r="B8" s="59" t="inlineStr">
        <is>
          <t>F-S1-4</t>
        </is>
      </c>
      <c r="C8" s="59" t="inlineStr">
        <is>
          <t>MIN</t>
        </is>
      </c>
      <c r="D8" s="59" t="inlineStr">
        <is>
          <t>S1 田中</t>
        </is>
      </c>
      <c r="E8" s="59" t="inlineStr">
        <is>
          <t>裏面ありますかのプロンプトが毎回出てだるい</t>
        </is>
      </c>
      <c r="F8" s="59" t="inlineStr">
        <is>
          <t>AP-51でQR自動プリスキャン→QR検出時のみBackSideAddプロンプト。設定で『常に確認/QR検出時のみ/聞かない』を選択可</t>
        </is>
      </c>
      <c r="G8" s="59" t="inlineStr">
        <is>
          <t>SC-33,AP-51</t>
        </is>
      </c>
      <c r="H8" s="59" t="inlineStr">
        <is>
          <t>対応</t>
        </is>
      </c>
    </row>
    <row r="9">
      <c r="A9" s="59" t="n">
        <v>5</v>
      </c>
      <c r="B9" s="59" t="inlineStr">
        <is>
          <t>F-S2-1</t>
        </is>
      </c>
      <c r="C9" s="59" t="inlineStr">
        <is>
          <t>CRIT</t>
        </is>
      </c>
      <c r="D9" s="59" t="inlineStr">
        <is>
          <t>S2 佐々木</t>
        </is>
      </c>
      <c r="E9" s="59" t="inlineStr">
        <is>
          <t>上司invite timeout=2h固定で出張中に詰む</t>
        </is>
      </c>
      <c r="F9" s="59" t="inlineStr">
        <is>
          <t>timeoutをdynamic化(出張中=24h, 通常=4h, 緊急=2h)。declined後one-tapリインバイト。AP-57にdeadline_overrideを追加。INTERNAL_INVITE_TIMEOUT_HOURSをロール/状態別ポリシーに</t>
        </is>
      </c>
      <c r="G9" s="59" t="inlineStr">
        <is>
          <t>AP-57,internal_attendee_invites,10_env_vars</t>
        </is>
      </c>
      <c r="H9" s="59" t="inlineStr">
        <is>
          <t>対応</t>
        </is>
      </c>
    </row>
    <row r="10">
      <c r="A10" s="59" t="n">
        <v>6</v>
      </c>
      <c r="B10" s="59" t="inlineStr">
        <is>
          <t>F-S2-2</t>
        </is>
      </c>
      <c r="C10" s="59" t="inlineStr">
        <is>
          <t>CRIT</t>
        </is>
      </c>
      <c r="D10" s="59" t="inlineStr">
        <is>
          <t>S2 佐々木</t>
        </is>
      </c>
      <c r="E10" s="59" t="inlineStr">
        <is>
          <t>calendar_holdsが同席者カレンダーに5枠表示→上司激怒</t>
        </is>
      </c>
      <c r="F10" s="59" t="inlineStr">
        <is>
          <t>calendar_holdsはGoogle Calendar transparency='transparent'(busyブロックしない)で作成、タイトル='[仮]商談調整中'、本人と同席者で見え方を切替、calendar_holdsにhold_visibility列+hold_title列追加</t>
        </is>
      </c>
      <c r="G10" s="59" t="inlineStr">
        <is>
          <t>calendar_holds,AP-62</t>
        </is>
      </c>
      <c r="H10" s="59" t="inlineStr">
        <is>
          <t>対応</t>
        </is>
      </c>
    </row>
    <row r="11">
      <c r="A11" s="59" t="n">
        <v>7</v>
      </c>
      <c r="B11" s="59" t="inlineStr">
        <is>
          <t>F-S2-3</t>
        </is>
      </c>
      <c r="C11" s="59" t="inlineStr">
        <is>
          <t>MOD</t>
        </is>
      </c>
      <c r="D11" s="59" t="inlineStr">
        <is>
          <t>S2 佐々木</t>
        </is>
      </c>
      <c r="E11" s="59" t="inlineStr">
        <is>
          <t>work_hours未設定attendee混入時の挙動不明</t>
        </is>
      </c>
      <c r="F11" s="59" t="inlineStr">
        <is>
          <t>AP-60にfallback仕様明記、AvailabilityPreviewに警告チップ+デフォルト適用範囲明示。SC-38で初回時+移行時に強制設定prompt</t>
        </is>
      </c>
      <c r="G11" s="59" t="inlineStr">
        <is>
          <t>AP-60,SC-38</t>
        </is>
      </c>
      <c r="H11" s="59" t="inlineStr">
        <is>
          <t>対応</t>
        </is>
      </c>
    </row>
    <row r="12">
      <c r="A12" s="59" t="n">
        <v>8</v>
      </c>
      <c r="B12" s="59" t="inlineStr">
        <is>
          <t>F-S2-4</t>
        </is>
      </c>
      <c r="C12" s="59" t="inlineStr">
        <is>
          <t>MOD</t>
        </is>
      </c>
      <c r="D12" s="59" t="inlineStr">
        <is>
          <t>S2 佐々木</t>
        </is>
      </c>
      <c r="E12" s="59" t="inlineStr">
        <is>
          <t>顧客側からの確定後リスケ動線無し+DST警告無し</t>
        </is>
      </c>
      <c r="F12" s="59" t="inlineStr">
        <is>
          <t>SC-39に確定後『日程変更を依頼』ボタン→AP-64のcounter_propose intent経由で営業に通知。DST遷移日のスロットには注意アイコン</t>
        </is>
      </c>
      <c r="G12" s="59" t="inlineStr">
        <is>
          <t>SC-39,AP-64,LP-12</t>
        </is>
      </c>
      <c r="H12" s="59" t="inlineStr">
        <is>
          <t>対応</t>
        </is>
      </c>
    </row>
    <row r="13">
      <c r="A13" s="59" t="n">
        <v>9</v>
      </c>
      <c r="B13" s="59" t="inlineStr">
        <is>
          <t>F-S2-5</t>
        </is>
      </c>
      <c r="C13" s="59" t="inlineStr">
        <is>
          <t>MIN</t>
        </is>
      </c>
      <c r="D13" s="59" t="inlineStr">
        <is>
          <t>S2 佐々木</t>
        </is>
      </c>
      <c r="E13" s="59" t="inlineStr">
        <is>
          <t>AP-57の発火点不明で不安</t>
        </is>
      </c>
      <c r="F13" s="59" t="inlineStr">
        <is>
          <t>AP-57は『scheduling_proposal送信時のみ発火』を明記。AttendeesPickerにツールチップ『送信時に同席依頼が送られます』</t>
        </is>
      </c>
      <c r="G13" s="59" t="inlineStr">
        <is>
          <t>AP-57,SC-10</t>
        </is>
      </c>
      <c r="H13" s="59" t="inlineStr">
        <is>
          <t>対応</t>
        </is>
      </c>
    </row>
    <row r="14">
      <c r="A14" s="59" t="n">
        <v>10</v>
      </c>
      <c r="B14" s="59" t="inlineStr">
        <is>
          <t>F-S3-1</t>
        </is>
      </c>
      <c r="C14" s="59" t="inlineStr">
        <is>
          <t>CRIT</t>
        </is>
      </c>
      <c r="D14" s="59" t="inlineStr">
        <is>
          <t>S3 山田</t>
        </is>
      </c>
      <c r="E14" s="59" t="inlineStr">
        <is>
          <t>9件inbox優先順序不明、新人が固まる</t>
        </is>
      </c>
      <c r="F14" s="59" t="inlineStr">
        <is>
          <t>SC-14デフォルトソート『信頼度高×受信古い順』固定。新人(role=new or 入社&lt;3M)はconfidence&gt;=0.85件をハイライト+1タップ確定。残りはガイド付きwalkthrough</t>
        </is>
      </c>
      <c r="G14" s="59" t="inlineStr">
        <is>
          <t>SC-14,users(new_user_until)</t>
        </is>
      </c>
      <c r="H14" s="59" t="inlineStr">
        <is>
          <t>対応</t>
        </is>
      </c>
    </row>
    <row r="15">
      <c r="A15" s="59" t="n">
        <v>11</v>
      </c>
      <c r="B15" s="59" t="inlineStr">
        <is>
          <t>F-S3-2</t>
        </is>
      </c>
      <c r="C15" s="59" t="inlineStr">
        <is>
          <t>CRIT</t>
        </is>
      </c>
      <c r="D15" s="59" t="inlineStr">
        <is>
          <t>S3 山田</t>
        </is>
      </c>
      <c r="E15" s="59" t="inlineStr">
        <is>
          <t>phone/visit/unrelated意図検出後の業務フロー無し</t>
        </is>
      </c>
      <c r="F15" s="59" t="inlineStr">
        <is>
          <t>AP-64レスポンスにsuggested_action列(reply_with_phone_template/convert_to_visit_meeting/mark_unrelated/escalate_to_manager)。SC-41にintent別アクションボタン+対応テンプレ</t>
        </is>
      </c>
      <c r="G15" s="59" t="inlineStr">
        <is>
          <t>AP-64,SC-41,LP-12</t>
        </is>
      </c>
      <c r="H15" s="59" t="inlineStr">
        <is>
          <t>対応</t>
        </is>
      </c>
    </row>
    <row r="16">
      <c r="A16" s="59" t="n">
        <v>12</v>
      </c>
      <c r="B16" s="59" t="inlineStr">
        <is>
          <t>F-S3-3</t>
        </is>
      </c>
      <c r="C16" s="59" t="inlineStr">
        <is>
          <t>MOD</t>
        </is>
      </c>
      <c r="D16" s="59" t="inlineStr">
        <is>
          <t>S3 山田</t>
        </is>
      </c>
      <c r="E16" s="59" t="inlineStr">
        <is>
          <t>CC追加検出時、未登録メアドのcontact化判断不能</t>
        </is>
      </c>
      <c r="F16" s="59" t="inlineStr">
        <is>
          <t>未登録CCはmeeting_attendeesにexternal_email='xxx'で一時保存(contact未作成)、商談確定時にcontact化prompt。RLSで『external_emailは商談オーナーのみ閲覧』</t>
        </is>
      </c>
      <c r="G16" s="59" t="inlineStr">
        <is>
          <t>meeting_attendees(改),08_security_rls</t>
        </is>
      </c>
      <c r="H16" s="59" t="inlineStr">
        <is>
          <t>対応</t>
        </is>
      </c>
    </row>
    <row r="17">
      <c r="A17" s="59" t="n">
        <v>13</v>
      </c>
      <c r="B17" s="59" t="inlineStr">
        <is>
          <t>F-S3-4</t>
        </is>
      </c>
      <c r="C17" s="59" t="inlineStr">
        <is>
          <t>MOD</t>
        </is>
      </c>
      <c r="D17" s="59" t="inlineStr">
        <is>
          <t>S3 山田</t>
        </is>
      </c>
      <c r="E17" s="59" t="inlineStr">
        <is>
          <t>redraft完了とneeds_human時のManualResolveDialog曖昧</t>
        </is>
      </c>
      <c r="F17" s="59" t="inlineStr">
        <is>
          <t>ManualResolveDialogに手動intent選択+slot手動入力+メモを標準化。redraft完了時にinbox該当行を自動展開しプレビュー表示</t>
        </is>
      </c>
      <c r="G17" s="59" t="inlineStr">
        <is>
          <t>SC-14,SC-41,AP-65</t>
        </is>
      </c>
      <c r="H17" s="59" t="inlineStr">
        <is>
          <t>対応</t>
        </is>
      </c>
    </row>
    <row r="18">
      <c r="A18" s="59" t="n">
        <v>14</v>
      </c>
      <c r="B18" s="59" t="inlineStr">
        <is>
          <t>F-S3-5</t>
        </is>
      </c>
      <c r="C18" s="59" t="inlineStr">
        <is>
          <t>MIN</t>
        </is>
      </c>
      <c r="D18" s="59" t="inlineStr">
        <is>
          <t>S3 山田</t>
        </is>
      </c>
      <c r="E18" s="59" t="inlineStr">
        <is>
          <t>NDA/RFP分類後の人間ワークフロー無し</t>
        </is>
      </c>
      <c r="F18" s="59" t="inlineStr">
        <is>
          <t>feature flagでSlack通知ルート(NDA→#legal、RFP→#deals-large)。SC-44にescalation設定UI</t>
        </is>
      </c>
      <c r="G18" s="59" t="inlineStr">
        <is>
          <t>SC-44,feature_flags</t>
        </is>
      </c>
      <c r="H18" s="59" t="inlineStr">
        <is>
          <t>対応</t>
        </is>
      </c>
    </row>
    <row r="19">
      <c r="A19" s="59" t="n">
        <v>15</v>
      </c>
      <c r="B19" s="59" t="inlineStr">
        <is>
          <t>F-S4-1</t>
        </is>
      </c>
      <c r="C19" s="59" t="inlineStr">
        <is>
          <t>CRIT</t>
        </is>
      </c>
      <c r="D19" s="59" t="inlineStr">
        <is>
          <t>S4 佐々木</t>
        </is>
      </c>
      <c r="E19" s="59" t="inlineStr">
        <is>
          <t>live-search別タブとZoom画面共有のコンフリクト</t>
        </is>
      </c>
      <c r="F19" s="59" t="inlineStr">
        <is>
          <t>SC-43を別ウィンドウ(window.open popup)で開き、共有URLは検索結果からドラッグ&amp;ドロップでZoomチャットへ。iPad/別端末向けcompanion mode検討。Zoom Apps SDK統合をP3に追加</t>
        </is>
      </c>
      <c r="G19" s="59" t="inlineStr">
        <is>
          <t>SC-43,11_tech_stack_libs</t>
        </is>
      </c>
      <c r="H19" s="59" t="inlineStr">
        <is>
          <t>対応</t>
        </is>
      </c>
    </row>
    <row r="20">
      <c r="A20" s="59" t="n">
        <v>16</v>
      </c>
      <c r="B20" s="59" t="inlineStr">
        <is>
          <t>F-S4-2</t>
        </is>
      </c>
      <c r="C20" s="59" t="inlineStr">
        <is>
          <t>CRIT</t>
        </is>
      </c>
      <c r="D20" s="59" t="inlineStr">
        <is>
          <t>S4 佐々木</t>
        </is>
      </c>
      <c r="E20" s="59" t="inlineStr">
        <is>
          <t>per-attendee consent dialogの配信手段未定義</t>
        </is>
      </c>
      <c r="F20" s="59" t="inlineStr">
        <is>
          <t>Zoom Apps SDKでin-Zoom dialogを第一選択、未対応はメール+ワンタイムリンク、緊急時は口頭同意+営業押下(captured_via='verbal_logged_by_owner')。各captured_viaの法的有効性を16_compliance_legalで明記</t>
        </is>
      </c>
      <c r="G20" s="59" t="inlineStr">
        <is>
          <t>AP-86,AP-106,16_compliance_legal</t>
        </is>
      </c>
      <c r="H20" s="59" t="inlineStr">
        <is>
          <t>対応</t>
        </is>
      </c>
    </row>
    <row r="21">
      <c r="A21" s="59" t="n">
        <v>17</v>
      </c>
      <c r="B21" s="59" t="inlineStr">
        <is>
          <t>F-S4-3</t>
        </is>
      </c>
      <c r="C21" s="59" t="inlineStr">
        <is>
          <t>MOD</t>
        </is>
      </c>
      <c r="D21" s="59" t="inlineStr">
        <is>
          <t>S4 佐々木</t>
        </is>
      </c>
      <c r="E21" s="59" t="inlineStr">
        <is>
          <t>社内ユーザーにもper-attendee consent dialogが毎回出るのは過剰</t>
        </is>
      </c>
      <c r="F21" s="59" t="inlineStr">
        <is>
          <t>users.consent_blanket_for_internal_meetings=true をonboarding step6に追加。社内ユーザーはlate_join_pending→capturedをblanket consentで自動migrate</t>
        </is>
      </c>
      <c r="G21" s="59" t="inlineStr">
        <is>
          <t>users(改),SC-66</t>
        </is>
      </c>
      <c r="H21" s="59" t="inlineStr">
        <is>
          <t>対応</t>
        </is>
      </c>
    </row>
    <row r="22">
      <c r="A22" s="59" t="n">
        <v>18</v>
      </c>
      <c r="B22" s="59" t="inlineStr">
        <is>
          <t>F-S4-4</t>
        </is>
      </c>
      <c r="C22" s="59" t="inlineStr">
        <is>
          <t>MOD</t>
        </is>
      </c>
      <c r="D22" s="59" t="inlineStr">
        <is>
          <t>S4 佐々木</t>
        </is>
      </c>
      <c r="E22" s="59" t="inlineStr">
        <is>
          <t>q_meeting_briefが5分前トリガで失敗すると間に合わない</t>
        </is>
      </c>
      <c r="F22" s="59" t="inlineStr">
        <is>
          <t>q_meeting_briefを15分前トリガに前倒し+縮退版brief(過去要約のみ、AI抽出なし)を即時生成しキャッシュ。5分前で完全版差し替え。失敗時は縮退版表示+エラーログ</t>
        </is>
      </c>
      <c r="G22" s="59" t="inlineStr">
        <is>
          <t>q_meeting_brief,meeting_briefs(degraded_version)</t>
        </is>
      </c>
      <c r="H22" s="59" t="inlineStr">
        <is>
          <t>対応</t>
        </is>
      </c>
    </row>
    <row r="23">
      <c r="A23" s="59" t="n">
        <v>19</v>
      </c>
      <c r="B23" s="59" t="inlineStr">
        <is>
          <t>F-S4-5</t>
        </is>
      </c>
      <c r="C23" s="59" t="inlineStr">
        <is>
          <t>MOD</t>
        </is>
      </c>
      <c r="D23" s="59" t="inlineStr">
        <is>
          <t>S4 佐々木</t>
        </is>
      </c>
      <c r="E23" s="59" t="inlineStr">
        <is>
          <t>録画停止のライブ即時警告無し</t>
        </is>
      </c>
      <c r="F23" s="59" t="inlineStr">
        <is>
          <t>Zoom Webhook recording.pausedで30秒以内Push+SMS。BriefCard右上に録画状態ライブインジケータ</t>
        </is>
      </c>
      <c r="G23" s="59" t="inlineStr">
        <is>
          <t>q_meeting_recording_force,SC-42</t>
        </is>
      </c>
      <c r="H23" s="59" t="inlineStr">
        <is>
          <t>対応</t>
        </is>
      </c>
    </row>
    <row r="24">
      <c r="A24" s="59" t="n">
        <v>20</v>
      </c>
      <c r="B24" s="59" t="inlineStr">
        <is>
          <t>F-S5-1</t>
        </is>
      </c>
      <c r="C24" s="59" t="inlineStr">
        <is>
          <t>CRIT</t>
        </is>
      </c>
      <c r="D24" s="59" t="inlineStr">
        <is>
          <t>S5 田中</t>
        </is>
      </c>
      <c r="E24" s="59" t="inlineStr">
        <is>
          <t>インライン編集後の派生成果物のstaleness表示無し</t>
        </is>
      </c>
      <c r="F24" s="59" t="inlineStr">
        <is>
          <t>meetings.derived_artifacts_status (summary_v, handoff_v, embeddings_v, last_edit_at) をテーブル化。SC-11上部に『AI修正後の再生成ステータスバナー』。external-summary/handoff発行ボタンはpending時にdisable+理由表示</t>
        </is>
      </c>
      <c r="G24" s="59" t="inlineStr">
        <is>
          <t>meetings(改),SC-11</t>
        </is>
      </c>
      <c r="H24" s="59" t="inlineStr">
        <is>
          <t>対応</t>
        </is>
      </c>
    </row>
    <row r="25">
      <c r="A25" s="59" t="n">
        <v>21</v>
      </c>
      <c r="B25" s="59" t="inlineStr">
        <is>
          <t>F-S5-2</t>
        </is>
      </c>
      <c r="C25" s="59" t="inlineStr">
        <is>
          <t>CRIT</t>
        </is>
      </c>
      <c r="D25" s="59" t="inlineStr">
        <is>
          <t>S5 田中</t>
        </is>
      </c>
      <c r="E25" s="59" t="inlineStr">
        <is>
          <t>stage1/2/3ETA表示無し</t>
        </is>
      </c>
      <c r="F25" s="59" t="inlineStr">
        <is>
          <t>recording_stagesにestimated_completion_at列追加(p95から動的算出)。SC-11にprogress bar+ETA。stage3未完了でも external-summary/handoff が部分生成できるflag追加</t>
        </is>
      </c>
      <c r="G25" s="59" t="inlineStr">
        <is>
          <t>recording_stages,SC-11</t>
        </is>
      </c>
      <c r="H25" s="59" t="inlineStr">
        <is>
          <t>対応</t>
        </is>
      </c>
    </row>
    <row r="26">
      <c r="A26" s="59" t="n">
        <v>22</v>
      </c>
      <c r="B26" s="59" t="inlineStr">
        <is>
          <t>F-S5-3</t>
        </is>
      </c>
      <c r="C26" s="59" t="inlineStr">
        <is>
          <t>MOD</t>
        </is>
      </c>
      <c r="D26" s="59" t="inlineStr">
        <is>
          <t>S5 田中</t>
        </is>
      </c>
      <c r="E26" s="59" t="inlineStr">
        <is>
          <t>社内/社外のマスキング切替UIが分散</t>
        </is>
      </c>
      <c r="F26" s="59" t="inlineStr">
        <is>
          <t>share dialogにaudience selector(internal/customer/legal/external_partner)を統一配置。audience別pre-set(redact/exclude_internal/exclude_sensitive/pii_visible)テンプレをadminで管理</t>
        </is>
      </c>
      <c r="G26" s="59" t="inlineStr">
        <is>
          <t>share_audience_presets(新),SC-44,SC-46</t>
        </is>
      </c>
      <c r="H26" s="59" t="inlineStr">
        <is>
          <t>対応</t>
        </is>
      </c>
    </row>
    <row r="27">
      <c r="A27" s="59" t="n">
        <v>23</v>
      </c>
      <c r="B27" s="59" t="inlineStr">
        <is>
          <t>F-S5-4</t>
        </is>
      </c>
      <c r="C27" s="59" t="inlineStr">
        <is>
          <t>MOD</t>
        </is>
      </c>
      <c r="D27" s="59" t="inlineStr">
        <is>
          <t>S5 田中</t>
        </is>
      </c>
      <c r="E27" s="59" t="inlineStr">
        <is>
          <t>speaker未命名のUI曖昧</t>
        </is>
      </c>
      <c r="F27" s="59" t="inlineStr">
        <is>
          <t>SC-11 TranscriptTimelineにspeaker_chip(クリック→meeting_attendees候補ドロップダウン+『他の人』フリーテキスト)。同一voice_embeddingに以後自動命名</t>
        </is>
      </c>
      <c r="G27" s="59" t="inlineStr">
        <is>
          <t>SC-11,speaker_assignments(改)</t>
        </is>
      </c>
      <c r="H27" s="59" t="inlineStr">
        <is>
          <t>対応</t>
        </is>
      </c>
    </row>
    <row r="28">
      <c r="A28" s="59" t="n">
        <v>24</v>
      </c>
      <c r="B28" s="59" t="inlineStr">
        <is>
          <t>F-S5-5</t>
        </is>
      </c>
      <c r="C28" s="59" t="inlineStr">
        <is>
          <t>MIN</t>
        </is>
      </c>
      <c r="D28" s="59" t="inlineStr">
        <is>
          <t>S5 田中</t>
        </is>
      </c>
      <c r="E28" s="59" t="inlineStr">
        <is>
          <t>商談後タスクのTodoList自動連携無し</t>
        </is>
      </c>
      <c r="F28" s="59" t="inlineStr">
        <is>
          <t>meetings.post_meeting_checklistを自動生成(clip_create/external_summary_send/handoff_submit)、SC-03 TodoListに連携。離席15分でPush『未完了商談タスク◯件』</t>
        </is>
      </c>
      <c r="G28" s="59" t="inlineStr">
        <is>
          <t>meetings(改),SC-03</t>
        </is>
      </c>
      <c r="H28" s="59" t="inlineStr">
        <is>
          <t>対応</t>
        </is>
      </c>
    </row>
    <row r="29">
      <c r="A29" s="59" t="n">
        <v>25</v>
      </c>
      <c r="B29" s="59" t="inlineStr">
        <is>
          <t>F-S5-6</t>
        </is>
      </c>
      <c r="C29" s="59" t="inlineStr">
        <is>
          <t>MIN</t>
        </is>
      </c>
      <c r="D29" s="59" t="inlineStr">
        <is>
          <t>S5 田中</t>
        </is>
      </c>
      <c r="E29" s="59" t="inlineStr">
        <is>
          <t>share_token expires_in defaultが見えない</t>
        </is>
      </c>
      <c r="F29" s="59" t="inlineStr">
        <is>
          <t>組織設定にdefault_share_expires_in(初期7d, 上限30d)。audience別推奨値(internal=30d, customer=7d, partner=24h)</t>
        </is>
      </c>
      <c r="G29" s="59" t="inlineStr">
        <is>
          <t>share_links(改),16_compliance_legal</t>
        </is>
      </c>
      <c r="H29" s="59" t="inlineStr">
        <is>
          <t>対応</t>
        </is>
      </c>
    </row>
    <row r="30">
      <c r="A30" s="59" t="n">
        <v>26</v>
      </c>
      <c r="B30" s="59" t="inlineStr">
        <is>
          <t>F-S6-1</t>
        </is>
      </c>
      <c r="C30" s="59" t="inlineStr">
        <is>
          <t>CRIT</t>
        </is>
      </c>
      <c r="D30" s="59" t="inlineStr">
        <is>
          <t>S6 高橋/電話中</t>
        </is>
      </c>
      <c r="E30" s="59" t="inlineStr">
        <is>
          <t>顧客スコープ固定の発言検索ペイン無し→グローバル検索からフィルタ再構築で30秒UX破綻</t>
        </is>
      </c>
      <c r="F30" s="59" t="inlineStr">
        <is>
          <t>SC-01 顧客カードに『顧客スコープ固定の発言検索ドロワ』追加。CTI着信時にautofocus。AP-72にcustomer_id必須の高速パス</t>
        </is>
      </c>
      <c r="G30" s="59" t="inlineStr">
        <is>
          <t>SC-01,SC-45,AP-72</t>
        </is>
      </c>
      <c r="H30" s="59" t="inlineStr">
        <is>
          <t>対応</t>
        </is>
      </c>
    </row>
    <row r="31">
      <c r="A31" s="59" t="n">
        <v>27</v>
      </c>
      <c r="B31" s="59" t="inlineStr">
        <is>
          <t>F-S6-2</t>
        </is>
      </c>
      <c r="C31" s="59" t="inlineStr">
        <is>
          <t>CRIT</t>
        </is>
      </c>
      <c r="D31" s="59" t="inlineStr">
        <is>
          <t>S6 高橋</t>
        </is>
      </c>
      <c r="E31" s="59" t="inlineStr">
        <is>
          <t>退職者発言バッジ無し→現役発言と同等扱いで誤回答リスク</t>
        </is>
      </c>
      <c r="F31" s="59" t="inlineStr">
        <is>
          <t>contact lifecycle state machineにformer_employee_utteranceフラグ伝搬。SC-43ヒット表示で退職者発言は黄色警告+承継状態(承継済/未承継)+後任リンクを必須表示</t>
        </is>
      </c>
      <c r="G31" s="59" t="inlineStr">
        <is>
          <t>14_state_machines,SC-43,recording_segments(改)</t>
        </is>
      </c>
      <c r="H31" s="59" t="inlineStr">
        <is>
          <t>対応</t>
        </is>
      </c>
    </row>
    <row r="32">
      <c r="A32" s="59" t="n">
        <v>28</v>
      </c>
      <c r="B32" s="59" t="inlineStr">
        <is>
          <t>F-S6-3</t>
        </is>
      </c>
      <c r="C32" s="59" t="inlineStr">
        <is>
          <t>MOD</t>
        </is>
      </c>
      <c r="D32" s="59" t="inlineStr">
        <is>
          <t>S6 高橋</t>
        </is>
      </c>
      <c r="E32" s="59" t="inlineStr">
        <is>
          <t>ヒットスニペットの前後文脈量と再生開始位置が未仕様</t>
        </is>
      </c>
      <c r="F32" s="59" t="inlineStr">
        <is>
          <t>検索結果カードに前30秒/ヒット/後15秒の三段スニペット必須化。ワンクリック『前文脈再生』ボタン</t>
        </is>
      </c>
      <c r="G32" s="59" t="inlineStr">
        <is>
          <t>SC-43,18_search_knowledge_quality</t>
        </is>
      </c>
      <c r="H32" s="59" t="inlineStr">
        <is>
          <t>対応</t>
        </is>
      </c>
    </row>
    <row r="33">
      <c r="A33" s="59" t="n">
        <v>29</v>
      </c>
      <c r="B33" s="59" t="inlineStr">
        <is>
          <t>F-S6-4</t>
        </is>
      </c>
      <c r="C33" s="59" t="inlineStr">
        <is>
          <t>MOD</t>
        </is>
      </c>
      <c r="D33" s="59" t="inlineStr">
        <is>
          <t>S6 高橋</t>
        </is>
      </c>
      <c r="E33" s="59" t="inlineStr">
        <is>
          <t>share_safety_filter拒否理由非表示でCSが手詰まり</t>
        </is>
      </c>
      <c r="F33" s="59" t="inlineStr">
        <is>
          <t>拒否時に分類ラベル(sensitive: 価格交渉/個人情報など)+approval_request導線。AP-107にdeny_reason付きレスポンス</t>
        </is>
      </c>
      <c r="G33" s="59" t="inlineStr">
        <is>
          <t>AP-107,SC-43</t>
        </is>
      </c>
      <c r="H33" s="59" t="inlineStr">
        <is>
          <t>対応</t>
        </is>
      </c>
    </row>
    <row r="34">
      <c r="A34" s="59" t="n">
        <v>30</v>
      </c>
      <c r="B34" s="59" t="inlineStr">
        <is>
          <t>F-S7-1</t>
        </is>
      </c>
      <c r="C34" s="59" t="inlineStr">
        <is>
          <t>CRIT</t>
        </is>
      </c>
      <c r="D34" s="59" t="inlineStr">
        <is>
          <t>S7 渡辺/新人</t>
        </is>
      </c>
      <c r="E34" s="59" t="inlineStr">
        <is>
          <t>AI生成中の進捗・コストキャップ到達時の挙動が不透明、固まったように見える</t>
        </is>
      </c>
      <c r="F34" s="59" t="inlineStr">
        <is>
          <t>LLMジョブにETA(秒)+stage(transcribe/score/feedback)をUIへpush。$0.10cap到達時は『簡易版に切替』を明示。SSEイベントprogress追加</t>
        </is>
      </c>
      <c r="G34" s="59" t="inlineStr">
        <is>
          <t>23_observability_alerts,AP-95(SSE),roleplay_sessions(改)</t>
        </is>
      </c>
      <c r="H34" s="59" t="inlineStr">
        <is>
          <t>対応</t>
        </is>
      </c>
    </row>
    <row r="35">
      <c r="A35" s="59" t="n">
        <v>31</v>
      </c>
      <c r="B35" s="59" t="inlineStr">
        <is>
          <t>F-S7-2</t>
        </is>
      </c>
      <c r="C35" s="59" t="inlineStr">
        <is>
          <t>MOD</t>
        </is>
      </c>
      <c r="D35" s="59" t="inlineStr">
        <is>
          <t>S7 渡辺</t>
        </is>
      </c>
      <c r="E35" s="59" t="inlineStr">
        <is>
          <t>録音中断/再開がロープレ評価上1セッションか別か不明</t>
        </is>
      </c>
      <c r="F35" s="59" t="inlineStr">
        <is>
          <t>ロープレsession_idを録音stateに紐付け、最大15分/中断1回まで同一セッション、それ以上は再受験フラグ</t>
        </is>
      </c>
      <c r="G35" s="59" t="inlineStr">
        <is>
          <t>roleplay_sessions(改),14_state_machines</t>
        </is>
      </c>
      <c r="H35" s="59" t="inlineStr">
        <is>
          <t>対応</t>
        </is>
      </c>
    </row>
    <row r="36">
      <c r="A36" s="59" t="n">
        <v>32</v>
      </c>
      <c r="B36" s="59" t="inlineStr">
        <is>
          <t>F-S7-3</t>
        </is>
      </c>
      <c r="C36" s="59" t="inlineStr">
        <is>
          <t>MOD</t>
        </is>
      </c>
      <c r="D36" s="59" t="inlineStr">
        <is>
          <t>S7 渡辺</t>
        </is>
      </c>
      <c r="E36" s="59" t="inlineStr">
        <is>
          <t>フィードバック12項目で新人が圧倒される</t>
        </is>
      </c>
      <c r="F36" s="59" t="inlineStr">
        <is>
          <t>feedback itemにseverity(High/Med/Low)とsuggested_next_actionを必須出力。トップ3だけ初期表示、残りはfold</t>
        </is>
      </c>
      <c r="G36" s="59" t="inlineStr">
        <is>
          <t>LP-05/06 zod schema改修</t>
        </is>
      </c>
      <c r="H36" s="59" t="inlineStr">
        <is>
          <t>対応</t>
        </is>
      </c>
    </row>
    <row r="37">
      <c r="A37" s="59" t="n">
        <v>33</v>
      </c>
      <c r="B37" s="59" t="inlineStr">
        <is>
          <t>F-S7-4</t>
        </is>
      </c>
      <c r="C37" s="59" t="inlineStr">
        <is>
          <t>MIN</t>
        </is>
      </c>
      <c r="D37" s="59" t="inlineStr">
        <is>
          <t>S7 渡辺</t>
        </is>
      </c>
      <c r="E37" s="59" t="inlineStr">
        <is>
          <t>本人による自分の評価データ共有がshare_safety_filterで止まる</t>
        </is>
      </c>
      <c r="F37" s="59" t="inlineStr">
        <is>
          <t>owner_self_share=true の場合 sensitive判定でも warning+continue を許可。audit_logに記録</t>
        </is>
      </c>
      <c r="G37" s="59" t="inlineStr">
        <is>
          <t>08_security_rls,share_safety_filters(改)</t>
        </is>
      </c>
      <c r="H37" s="59" t="inlineStr">
        <is>
          <t>対応</t>
        </is>
      </c>
    </row>
    <row r="38">
      <c r="A38" s="59" t="n">
        <v>34</v>
      </c>
      <c r="B38" s="59" t="inlineStr">
        <is>
          <t>F-S8-1</t>
        </is>
      </c>
      <c r="C38" s="59" t="inlineStr">
        <is>
          <t>CRIT</t>
        </is>
      </c>
      <c r="D38" s="59" t="inlineStr">
        <is>
          <t>S8 鈴木/15分</t>
        </is>
      </c>
      <c r="E38" s="59" t="inlineStr">
        <is>
          <t>8名×案件を15分で見るのは物理無理、優先度提示無し</t>
        </is>
      </c>
      <c r="F38" s="59" t="inlineStr">
        <is>
          <t>ダッシュボード冒頭に『今週の注目案件Top5/部下Top3』をLLM+ルールで生成。根拠(金額×確度変化×停滞日数)を必ず併記</t>
        </is>
      </c>
      <c r="G38" s="59" t="inlineStr">
        <is>
          <t>SC-25,LP-32(改),AP-76</t>
        </is>
      </c>
      <c r="H38" s="59" t="inlineStr">
        <is>
          <t>対応</t>
        </is>
      </c>
    </row>
    <row r="39">
      <c r="A39" s="59" t="n">
        <v>35</v>
      </c>
      <c r="B39" s="59" t="inlineStr">
        <is>
          <t>F-S8-2</t>
        </is>
      </c>
      <c r="C39" s="59" t="inlineStr">
        <is>
          <t>CRIT</t>
        </is>
      </c>
      <c r="D39" s="59" t="inlineStr">
        <is>
          <t>S8 鈴木</t>
        </is>
      </c>
      <c r="E39" s="59" t="inlineStr">
        <is>
          <t>観戦の事前合意UI欠落、本人バッジだけだと心理的安全性崩壊</t>
        </is>
      </c>
      <c r="F39" s="59" t="inlineStr">
        <is>
          <t>入社時/月次更新で『マネージャー観戦同意レベル(常時/事前通知/個別承認)』を本人選択。観戦開始は本人選好に従い、すべてaudit_logsに記録</t>
        </is>
      </c>
      <c r="G39" s="59" t="inlineStr">
        <is>
          <t>users.observation_consent_level(新),SC-21,SC-66</t>
        </is>
      </c>
      <c r="H39" s="59" t="inlineStr">
        <is>
          <t>対応</t>
        </is>
      </c>
    </row>
    <row r="40">
      <c r="A40" s="59" t="n">
        <v>36</v>
      </c>
      <c r="B40" s="59" t="inlineStr">
        <is>
          <t>F-S8-3</t>
        </is>
      </c>
      <c r="C40" s="59" t="inlineStr">
        <is>
          <t>MOD</t>
        </is>
      </c>
      <c r="D40" s="59" t="inlineStr">
        <is>
          <t>S8 鈴木</t>
        </is>
      </c>
      <c r="E40" s="59" t="inlineStr">
        <is>
          <t>AI予測値の信頼区間/根拠表示無し</t>
        </is>
      </c>
      <c r="F40" s="59" t="inlineStr">
        <is>
          <t>予測APの zod 出力にprob_low/prob_high/top_factors[]を必須化、UI上で常時表示</t>
        </is>
      </c>
      <c r="G40" s="59" t="inlineStr">
        <is>
          <t>LP-32(改),SC-25</t>
        </is>
      </c>
      <c r="H40" s="59" t="inlineStr">
        <is>
          <t>対応</t>
        </is>
      </c>
    </row>
    <row r="41">
      <c r="A41" s="59" t="n">
        <v>37</v>
      </c>
      <c r="B41" s="59" t="inlineStr">
        <is>
          <t>F-S8-4</t>
        </is>
      </c>
      <c r="C41" s="59" t="inlineStr">
        <is>
          <t>MOD</t>
        </is>
      </c>
      <c r="D41" s="59" t="inlineStr">
        <is>
          <t>S8 鈴木</t>
        </is>
      </c>
      <c r="E41" s="59" t="inlineStr">
        <is>
          <t>部下の活動量急変などhuman anomaly検知無し</t>
        </is>
      </c>
      <c r="F41" s="59" t="inlineStr">
        <is>
          <t>behavioral anomaly job(週次)を05_jobs_queuesに追加。暗黙的指標でなく本人にも可視化(透明性原則)。本人/上長の二者通知</t>
        </is>
      </c>
      <c r="G41" s="59" t="inlineStr">
        <is>
          <t>q_behavioral_anomaly(新),behavioral_anomalies(新),23_observability_alerts</t>
        </is>
      </c>
      <c r="H41" s="59" t="inlineStr">
        <is>
          <t>対応</t>
        </is>
      </c>
    </row>
    <row r="42">
      <c r="A42" s="59" t="n">
        <v>38</v>
      </c>
      <c r="B42" s="59" t="inlineStr">
        <is>
          <t>F-S9-1</t>
        </is>
      </c>
      <c r="C42" s="59" t="inlineStr">
        <is>
          <t>CRIT</t>
        </is>
      </c>
      <c r="D42" s="59" t="inlineStr">
        <is>
          <t>S9 中村</t>
        </is>
      </c>
      <c r="E42" s="59" t="inlineStr">
        <is>
          <t>handoff受領SLA/未受領エスカレが状態機械に無く宙に浮く</t>
        </is>
      </c>
      <c r="F42" s="59" t="inlineStr">
        <is>
          <t>handoffに『48h未acceptで上長cc/72hでマネージャー強制割当』のSLA追加。q_handoff_sla_check job</t>
        </is>
      </c>
      <c r="G42" s="59" t="inlineStr">
        <is>
          <t>14_state_machines,handoffs(改),q_handoff_sla_check(新)</t>
        </is>
      </c>
      <c r="H42" s="59" t="inlineStr">
        <is>
          <t>対応</t>
        </is>
      </c>
    </row>
    <row r="43">
      <c r="A43" s="59" t="n">
        <v>39</v>
      </c>
      <c r="B43" s="59" t="inlineStr">
        <is>
          <t>F-S9-2</t>
        </is>
      </c>
      <c r="C43" s="59" t="inlineStr">
        <is>
          <t>CRIT</t>
        </is>
      </c>
      <c r="D43" s="59" t="inlineStr">
        <is>
          <t>S9 中村</t>
        </is>
      </c>
      <c r="E43" s="59" t="inlineStr">
        <is>
          <t>特殊条件taxonomy未整備で自由記述に流れCSが見落とし</t>
        </is>
      </c>
      <c r="F43" s="59" t="inlineStr">
        <is>
          <t>contract_special_terms enum(billing_cycle/delivery/contact_freq/sla/legal_clause/other)+each に required_action_owner と due_date 必須化</t>
        </is>
      </c>
      <c r="G43" s="59" t="inlineStr">
        <is>
          <t>contract_special_terms(新),03_data_model</t>
        </is>
      </c>
      <c r="H43" s="59" t="inlineStr">
        <is>
          <t>対応</t>
        </is>
      </c>
    </row>
    <row r="44">
      <c r="A44" s="59" t="n">
        <v>40</v>
      </c>
      <c r="B44" s="59" t="inlineStr">
        <is>
          <t>F-S9-3</t>
        </is>
      </c>
      <c r="C44" s="59" t="inlineStr">
        <is>
          <t>MOD</t>
        </is>
      </c>
      <c r="D44" s="59" t="inlineStr">
        <is>
          <t>S9 中村</t>
        </is>
      </c>
      <c r="E44" s="59" t="inlineStr">
        <is>
          <t>handoff自動収集の選別ロジック不透明、欠落理由非表示</t>
        </is>
      </c>
      <c r="F44" s="59" t="inlineStr">
        <is>
          <t>handoff_bundleにexcluded_items[]とreason(low_confidence/sensitive/expired)を必須出力。UIで開閉表示</t>
        </is>
      </c>
      <c r="G44" s="59" t="inlineStr">
        <is>
          <t>handoffs(改),AP-79</t>
        </is>
      </c>
      <c r="H44" s="59" t="inlineStr">
        <is>
          <t>対応</t>
        </is>
      </c>
    </row>
    <row r="45">
      <c r="A45" s="59" t="n">
        <v>41</v>
      </c>
      <c r="B45" s="59" t="inlineStr">
        <is>
          <t>F-S9-4</t>
        </is>
      </c>
      <c r="C45" s="59" t="inlineStr">
        <is>
          <t>MOD</t>
        </is>
      </c>
      <c r="D45" s="59" t="inlineStr">
        <is>
          <t>S9 中村</t>
        </is>
      </c>
      <c r="E45" s="59" t="inlineStr">
        <is>
          <t>録画タイムスタンプ⇔資料の双方向リンク弱い</t>
        </is>
      </c>
      <c r="F45" s="59" t="inlineStr">
        <is>
          <t>transcript_anchorにrelated_artifact_ids[]のリレーション。AP系でtranscript_anchor.attach(artifact_id)を提供</t>
        </is>
      </c>
      <c r="G45" s="59" t="inlineStr">
        <is>
          <t>transcript_anchors(新),AP系</t>
        </is>
      </c>
      <c r="H45" s="59" t="inlineStr">
        <is>
          <t>対応</t>
        </is>
      </c>
    </row>
    <row r="46">
      <c r="A46" s="59" t="n">
        <v>42</v>
      </c>
      <c r="B46" s="59" t="inlineStr">
        <is>
          <t>F-S9-5</t>
        </is>
      </c>
      <c r="C46" s="59" t="inlineStr">
        <is>
          <t>MIN</t>
        </is>
      </c>
      <c r="D46" s="59" t="inlineStr">
        <is>
          <t>S9 中村</t>
        </is>
      </c>
      <c r="E46" s="59" t="inlineStr">
        <is>
          <t>引き継ぎ品質と6ヶ月後継続率の相関無く改善ループ無し</t>
        </is>
      </c>
      <c r="F46" s="59" t="inlineStr">
        <is>
          <t>handoff_quality_score(自動)×churn_at_6mを四半期ダッシュ。本人にもフィードバック</t>
        </is>
      </c>
      <c r="G46" s="59" t="inlineStr">
        <is>
          <t>handoff_quality_metrics(新),24_acceptance_test_matrix</t>
        </is>
      </c>
      <c r="H46" s="59" t="inlineStr">
        <is>
          <t>対応</t>
        </is>
      </c>
    </row>
    <row r="47">
      <c r="A47" s="59" t="n">
        <v>43</v>
      </c>
      <c r="B47" s="59" t="inlineStr">
        <is>
          <t>F-S10-1</t>
        </is>
      </c>
      <c r="C47" s="59" t="inlineStr">
        <is>
          <t>CRIT</t>
        </is>
      </c>
      <c r="D47" s="59" t="inlineStr">
        <is>
          <t>S10 小林</t>
        </is>
      </c>
      <c r="E47" s="59" t="inlineStr">
        <is>
          <t>soft delete超過後のPITR管理者UIブラックボックス</t>
        </is>
      </c>
      <c r="F47" s="59" t="inlineStr">
        <is>
          <t>管理コンソールにrestore_request画面新設、dual approval workflow(admin+legal)+ETA表示。結果はaudit_logs+メール通知</t>
        </is>
      </c>
      <c r="G47" s="59" t="inlineStr">
        <is>
          <t>SC-78(/admin/dr 改修),AP-83(改)</t>
        </is>
      </c>
      <c r="H47" s="59" t="inlineStr">
        <is>
          <t>対応</t>
        </is>
      </c>
    </row>
    <row r="48">
      <c r="A48" s="59" t="n">
        <v>44</v>
      </c>
      <c r="B48" s="59" t="inlineStr">
        <is>
          <t>F-S10-2</t>
        </is>
      </c>
      <c r="C48" s="59" t="inlineStr">
        <is>
          <t>CRIT</t>
        </is>
      </c>
      <c r="D48" s="59" t="inlineStr">
        <is>
          <t>S10 小林</t>
        </is>
      </c>
      <c r="E48" s="59" t="inlineStr">
        <is>
          <t>監査エビデンス手作業で5時間+</t>
        </is>
      </c>
      <c r="F48" s="59" t="inlineStr">
        <is>
          <t>audit_evidence_pack(月次自動): hash chain整合性/退職者last access/external送信summary/cost top10/incidentsを1PDF+SHA256+GPG署名で出力</t>
        </is>
      </c>
      <c r="G48" s="59" t="inlineStr">
        <is>
          <t>q_audit_evidence_pack(新),AP-125(新)</t>
        </is>
      </c>
      <c r="H48" s="59" t="inlineStr">
        <is>
          <t>対応</t>
        </is>
      </c>
    </row>
    <row r="49">
      <c r="A49" s="59" t="n">
        <v>45</v>
      </c>
      <c r="B49" s="59" t="inlineStr">
        <is>
          <t>F-S10-3</t>
        </is>
      </c>
      <c r="C49" s="59" t="inlineStr">
        <is>
          <t>MOD</t>
        </is>
      </c>
      <c r="D49" s="59" t="inlineStr">
        <is>
          <t>S10 小林</t>
        </is>
      </c>
      <c r="E49" s="59" t="inlineStr">
        <is>
          <t>audit_logs hash chain破断のincident closeフロー未定義</t>
        </is>
      </c>
      <c r="F49" s="59" t="inlineStr">
        <is>
          <t>audit_chain_incidentsテーブル+ステータス(detected→investigating→closed)、closeにdual approval必須、紐付RCAリンク</t>
        </is>
      </c>
      <c r="G49" s="59" t="inlineStr">
        <is>
          <t>audit_chain_incidents(新)</t>
        </is>
      </c>
      <c r="H49" s="59" t="inlineStr">
        <is>
          <t>対応</t>
        </is>
      </c>
    </row>
    <row r="50">
      <c r="A50" s="59" t="n">
        <v>46</v>
      </c>
      <c r="B50" s="59" t="inlineStr">
        <is>
          <t>F-S10-4</t>
        </is>
      </c>
      <c r="C50" s="59" t="inlineStr">
        <is>
          <t>MOD</t>
        </is>
      </c>
      <c r="D50" s="59" t="inlineStr">
        <is>
          <t>S10 小林</t>
        </is>
      </c>
      <c r="E50" s="59" t="inlineStr">
        <is>
          <t>per-user/per-teamコスト実績ダッシュ未整備</t>
        </is>
      </c>
      <c r="F50" s="59" t="inlineStr">
        <is>
          <t>管理ダッシュにcost_actuals(by user/team/feature)+前月比/cap到達率を表示。Top3 over capで自動Slack</t>
        </is>
      </c>
      <c r="G50" s="59" t="inlineStr">
        <is>
          <t>cost_actuals(新),SC-29(改修)</t>
        </is>
      </c>
      <c r="H50" s="59" t="inlineStr">
        <is>
          <t>対応</t>
        </is>
      </c>
    </row>
    <row r="51">
      <c r="A51" s="59" t="n">
        <v>47</v>
      </c>
      <c r="B51" s="59" t="inlineStr">
        <is>
          <t>F-S10-5</t>
        </is>
      </c>
      <c r="C51" s="59" t="inlineStr">
        <is>
          <t>MIN</t>
        </is>
      </c>
      <c r="D51" s="59" t="inlineStr">
        <is>
          <t>S10 小林</t>
        </is>
      </c>
      <c r="E51" s="59" t="inlineStr">
        <is>
          <t>DSAR/外部委託送信ログのテナント単位抽出AP無し</t>
        </is>
      </c>
      <c r="F51" s="59" t="inlineStr">
        <is>
          <t>admin_export_external_usage(org_id, period, vendor)を追加。権限admin+legal dual</t>
        </is>
      </c>
      <c r="G51" s="59" t="inlineStr">
        <is>
          <t>AP-126(新)</t>
        </is>
      </c>
      <c r="H51" s="59" t="inlineStr">
        <is>
          <t>対応</t>
        </is>
      </c>
    </row>
    <row r="52">
      <c r="A52" s="59" t="n">
        <v>48</v>
      </c>
      <c r="B52" s="59" t="inlineStr">
        <is>
          <t>F-S11-1</t>
        </is>
      </c>
      <c r="C52" s="59" t="inlineStr">
        <is>
          <t>CRIT</t>
        </is>
      </c>
      <c r="D52" s="59" t="inlineStr">
        <is>
          <t>S11 横田</t>
        </is>
      </c>
      <c r="E52" s="59" t="inlineStr">
        <is>
          <t>WORM 7年保持 vs 削除SLA 30日 衝突解消ルール無し</t>
        </is>
      </c>
      <c r="F52" s="59" t="inlineStr">
        <is>
          <t>audit_logsはPIIマスキング前提でWORM保管(unmaskは別チャネル)を明文化。data_deletion_requests.rejection_reason_codeにworm_retention_required/legal_hold/identity_verification_failed enum追加</t>
        </is>
      </c>
      <c r="G52" s="59" t="inlineStr">
        <is>
          <t>16_compliance_legal,data_deletion_requests(改)</t>
        </is>
      </c>
      <c r="H52" s="59" t="inlineStr">
        <is>
          <t>対応</t>
        </is>
      </c>
    </row>
    <row r="53">
      <c r="A53" s="59" t="n">
        <v>49</v>
      </c>
      <c r="B53" s="59" t="inlineStr">
        <is>
          <t>F-S11-2</t>
        </is>
      </c>
      <c r="C53" s="59" t="inlineStr">
        <is>
          <t>MOD</t>
        </is>
      </c>
      <c r="D53" s="59" t="inlineStr">
        <is>
          <t>S11 横田</t>
        </is>
      </c>
      <c r="E53" s="59" t="inlineStr">
        <is>
          <t>admin側削除依頼レビュー画面が02_screens未定義</t>
        </is>
      </c>
      <c r="F53" s="59" t="inlineStr">
        <is>
          <t>SC-60a /admin/deletion-requests 新設。ticket一覧/30日SLAカウントダウン/identity verification UI/rejection enum/downstream_propagation_status可視化</t>
        </is>
      </c>
      <c r="G53" s="59" t="inlineStr">
        <is>
          <t>SC-60a(新)</t>
        </is>
      </c>
      <c r="H53" s="59" t="inlineStr">
        <is>
          <t>対応</t>
        </is>
      </c>
    </row>
    <row r="54">
      <c r="A54" s="59" t="n">
        <v>50</v>
      </c>
      <c r="B54" s="59" t="inlineStr">
        <is>
          <t>F-S11-3</t>
        </is>
      </c>
      <c r="C54" s="59" t="inlineStr">
        <is>
          <t>MOD</t>
        </is>
      </c>
      <c r="D54" s="59" t="inlineStr">
        <is>
          <t>S11 横田</t>
        </is>
      </c>
      <c r="E54" s="59" t="inlineStr">
        <is>
          <t>dual_approver_idsに役割制約無し</t>
        </is>
      </c>
      <c r="F54" s="59" t="inlineStr">
        <is>
          <t>legal_disclosure_requests.dual_approver_ids の片方は role='legal' 必須。RLS+UIバリデーションで強制</t>
        </is>
      </c>
      <c r="G54" s="59" t="inlineStr">
        <is>
          <t>legal_disclosure_requests(改),08_security_rls</t>
        </is>
      </c>
      <c r="H54" s="59" t="inlineStr">
        <is>
          <t>対応</t>
        </is>
      </c>
    </row>
    <row r="55">
      <c r="A55" s="59" t="n">
        <v>51</v>
      </c>
      <c r="B55" s="59" t="inlineStr">
        <is>
          <t>F-S11-4</t>
        </is>
      </c>
      <c r="C55" s="59" t="inlineStr">
        <is>
          <t>MIN</t>
        </is>
      </c>
      <c r="D55" s="59" t="inlineStr">
        <is>
          <t>S11 横田</t>
        </is>
      </c>
      <c r="E55" s="59" t="inlineStr">
        <is>
          <t>identity_verification_method の値未定義</t>
        </is>
      </c>
      <c r="F55" s="59" t="inlineStr">
        <is>
          <t>enum: email_loopback / signed_pdf / id_document / share_token_originator</t>
        </is>
      </c>
      <c r="G55" s="59" t="inlineStr">
        <is>
          <t>data_deletion_requests(改)</t>
        </is>
      </c>
      <c r="H55" s="59" t="inlineStr">
        <is>
          <t>対応</t>
        </is>
      </c>
    </row>
    <row r="56">
      <c r="A56" s="59" t="n">
        <v>52</v>
      </c>
      <c r="B56" s="59" t="inlineStr">
        <is>
          <t>F-S12-1</t>
        </is>
      </c>
      <c r="C56" s="59" t="inlineStr">
        <is>
          <t>CRIT</t>
        </is>
      </c>
      <c r="D56" s="59" t="inlineStr">
        <is>
          <t>S12 島田/退職</t>
        </is>
      </c>
      <c r="E56" s="59" t="inlineStr">
        <is>
          <t>O-05 OAuth revoke と O-11 export の順序矛盾(revoke前にexport要)</t>
        </is>
      </c>
      <c r="F56" s="59" t="inlineStr">
        <is>
          <t>O-11をM-Day 16:00(revoke前)に前倒し。Zoom録画など外部API依存データはここで完全DLしてからO-05実行を順序保証として明記</t>
        </is>
      </c>
      <c r="G56" s="59" t="inlineStr">
        <is>
          <t>26_user_offboarding_sop(改)</t>
        </is>
      </c>
      <c r="H56" s="59" t="inlineStr">
        <is>
          <t>対応</t>
        </is>
      </c>
    </row>
    <row r="57">
      <c r="A57" s="59" t="n">
        <v>53</v>
      </c>
      <c r="B57" s="59" t="inlineStr">
        <is>
          <t>F-S12-2</t>
        </is>
      </c>
      <c r="C57" s="59" t="inlineStr">
        <is>
          <t>MOD</t>
        </is>
      </c>
      <c r="D57" s="59" t="inlineStr">
        <is>
          <t>S12 池田</t>
        </is>
      </c>
      <c r="E57" s="59" t="inlineStr">
        <is>
          <t>名寄せロジックとresume挙動が未定義</t>
        </is>
      </c>
      <c r="F57" s="59" t="inlineStr">
        <is>
          <t>legacy_import_jobsにstaged_state(field_mapping_json/dedupe_keys/cursor)。matching key priority(email&gt;phone&gt;company+name)を明示。merge_undo_window=72hを規定</t>
        </is>
      </c>
      <c r="G57" s="59" t="inlineStr">
        <is>
          <t>legacy_import_jobs(改)</t>
        </is>
      </c>
      <c r="H57" s="59" t="inlineStr">
        <is>
          <t>対応</t>
        </is>
      </c>
    </row>
    <row r="58">
      <c r="A58" s="59" t="n">
        <v>54</v>
      </c>
      <c r="B58" s="59" t="inlineStr">
        <is>
          <t>F-S12-3</t>
        </is>
      </c>
      <c r="C58" s="59" t="inlineStr">
        <is>
          <t>MOD</t>
        </is>
      </c>
      <c r="D58" s="59" t="inlineStr">
        <is>
          <t>S12 佐藤</t>
        </is>
      </c>
      <c r="E58" s="59" t="inlineStr">
        <is>
          <t>オンボ初日にロープレStep5が辛い</t>
        </is>
      </c>
      <c r="F58" s="59" t="inlineStr">
        <is>
          <t>sample_data_seedsにroleplay_audio=合成音声/dummy_company付与を明記。新人パスでStep5は『見るだけ』モードをデフォルトに</t>
        </is>
      </c>
      <c r="G58" s="59" t="inlineStr">
        <is>
          <t>sample_data_seeds(改),SC-61</t>
        </is>
      </c>
      <c r="H58" s="59" t="inlineStr">
        <is>
          <t>対応</t>
        </is>
      </c>
    </row>
    <row r="59">
      <c r="A59" s="59" t="n">
        <v>55</v>
      </c>
      <c r="B59" s="59" t="inlineStr">
        <is>
          <t>F-S12-4</t>
        </is>
      </c>
      <c r="C59" s="59" t="inlineStr">
        <is>
          <t>MIN</t>
        </is>
      </c>
      <c r="D59" s="59" t="inlineStr">
        <is>
          <t>S12 佐藤</t>
        </is>
      </c>
      <c r="E59" s="59" t="inlineStr">
        <is>
          <t>通知設定にロール別プリセット無し</t>
        </is>
      </c>
      <c r="F59" s="59" t="inlineStr">
        <is>
          <t>role_default_notification_presets テーブル。初日サインアップ時にroleでlookupして適用</t>
        </is>
      </c>
      <c r="G59" s="59" t="inlineStr">
        <is>
          <t>role_default_notification_presets(新),SC-66</t>
        </is>
      </c>
      <c r="H59" s="59" t="inlineStr">
        <is>
          <t>対応</t>
        </is>
      </c>
    </row>
    <row r="60">
      <c r="A60" s="59" t="n">
        <v>56</v>
      </c>
      <c r="B60" s="59" t="inlineStr">
        <is>
          <t>F-S13-1</t>
        </is>
      </c>
      <c r="C60" s="59" t="inlineStr">
        <is>
          <t>MOD</t>
        </is>
      </c>
      <c r="D60" s="59" t="inlineStr">
        <is>
          <t>S13 西村</t>
        </is>
      </c>
      <c r="E60" s="59" t="inlineStr">
        <is>
          <t>chat citation→該当録画timestampへのdeep link仕様欠落</t>
        </is>
      </c>
      <c r="F60" s="59" t="inlineStr">
        <is>
          <t>chat_citationsに{meeting_id, segment_id, t_start_ms, t_end_ms}必須化。UIで出典タップ→/recordings/[id]?t=mm:ssに遷移</t>
        </is>
      </c>
      <c r="G60" s="59" t="inlineStr">
        <is>
          <t>chat_citations(改),AP-95</t>
        </is>
      </c>
      <c r="H60" s="59" t="inlineStr">
        <is>
          <t>対応</t>
        </is>
      </c>
    </row>
    <row r="61">
      <c r="A61" s="59" t="n">
        <v>57</v>
      </c>
      <c r="B61" s="59" t="inlineStr">
        <is>
          <t>F-S13-2</t>
        </is>
      </c>
      <c r="C61" s="59" t="inlineStr">
        <is>
          <t>MOD</t>
        </is>
      </c>
      <c r="D61" s="59" t="inlineStr">
        <is>
          <t>S13 西村</t>
        </is>
      </c>
      <c r="E61" s="59" t="inlineStr">
        <is>
          <t>deprecatedナレッジのデフォルト除外ポリシー未明記</t>
        </is>
      </c>
      <c r="F61" s="59" t="inlineStr">
        <is>
          <t>検索初期値exclude_deprecated=true、上部にtoggle+件数バッジ。検索クエリにdeprecatedが明示的に含まれる場合のみfalseに自動切替</t>
        </is>
      </c>
      <c r="G61" s="59" t="inlineStr">
        <is>
          <t>SC-17,AP-94</t>
        </is>
      </c>
      <c r="H61" s="59" t="inlineStr">
        <is>
          <t>対応</t>
        </is>
      </c>
    </row>
    <row r="62">
      <c r="A62" s="59" t="n">
        <v>58</v>
      </c>
      <c r="B62" s="59" t="inlineStr">
        <is>
          <t>F-S13-3</t>
        </is>
      </c>
      <c r="C62" s="59" t="inlineStr">
        <is>
          <t>MOD</t>
        </is>
      </c>
      <c r="D62" s="59" t="inlineStr">
        <is>
          <t>S13 西村</t>
        </is>
      </c>
      <c r="E62" s="59" t="inlineStr">
        <is>
          <t>日時パース±2週が現場感覚に合わない</t>
        </is>
      </c>
      <c r="F62" s="59" t="inlineStr">
        <is>
          <t>曜日明示(『先週月曜』)はピンポイント±0、月単位(『先月』)±1ヶ月、相対(『最近』)±2週、と粒度別に許容幅を定義</t>
        </is>
      </c>
      <c r="G62" s="59" t="inlineStr">
        <is>
          <t>LP-22(改)</t>
        </is>
      </c>
      <c r="H62" s="59" t="inlineStr">
        <is>
          <t>対応</t>
        </is>
      </c>
    </row>
    <row r="63">
      <c r="A63" s="59" t="n">
        <v>59</v>
      </c>
      <c r="B63" s="59" t="inlineStr">
        <is>
          <t>F-S13-4</t>
        </is>
      </c>
      <c r="C63" s="59" t="inlineStr">
        <is>
          <t>MIN</t>
        </is>
      </c>
      <c r="D63" s="59" t="inlineStr">
        <is>
          <t>S13 西村</t>
        </is>
      </c>
      <c r="E63" s="59" t="inlineStr">
        <is>
          <t>speaker未ラベリング録画のspeaker_filter挙動未定義</t>
        </is>
      </c>
      <c r="F63" s="59" t="inlineStr">
        <is>
          <t>speaker_status='pending'は結果に含めるが結果UIにバッジ表示+ヒント『この録音は話者識別中です』</t>
        </is>
      </c>
      <c r="G63" s="59" t="inlineStr">
        <is>
          <t>AP-94,SC-17</t>
        </is>
      </c>
      <c r="H63" s="59" t="inlineStr">
        <is>
          <t>対応</t>
        </is>
      </c>
    </row>
    <row r="64">
      <c r="A64" s="59" t="n">
        <v>60</v>
      </c>
      <c r="B64" s="59" t="inlineStr">
        <is>
          <t>F-S14-1</t>
        </is>
      </c>
      <c r="C64" s="59" t="inlineStr">
        <is>
          <t>CRIT</t>
        </is>
      </c>
      <c r="D64" s="59" t="inlineStr">
        <is>
          <t>S14 島田</t>
        </is>
      </c>
      <c r="E64" s="59" t="inlineStr">
        <is>
          <t>is_active=false時のIndexedDB暗号化データwipe条件不明</t>
        </is>
      </c>
      <c r="F64" s="59" t="inlineStr">
        <is>
          <t>M-18 wipeトリガに(a)logout (b)is_active=false検知時の次回SW boot (c)session-bound key TTL切れ を明記。O-06に『退職者デバイスの強制リモートwipe確認』を追加</t>
        </is>
      </c>
      <c r="G64" s="59" t="inlineStr">
        <is>
          <t>17_offline_mobile,26_user_offboarding_sop</t>
        </is>
      </c>
      <c r="H64" s="59" t="inlineStr">
        <is>
          <t>対応</t>
        </is>
      </c>
    </row>
    <row r="65">
      <c r="A65" s="59" t="n">
        <v>61</v>
      </c>
      <c r="B65" s="59" t="inlineStr">
        <is>
          <t>F-S14-2</t>
        </is>
      </c>
      <c r="C65" s="59" t="inlineStr">
        <is>
          <t>MOD</t>
        </is>
      </c>
      <c r="D65" s="59" t="inlineStr">
        <is>
          <t>S14 島田</t>
        </is>
      </c>
      <c r="E65" s="59" t="inlineStr">
        <is>
          <t>録音割込み再開フローで音声連結方式未定義</t>
        </is>
      </c>
      <c r="F65" s="59" t="inlineStr">
        <is>
          <t>voice_memos.segments[]として分割保存、再開後segmentを追加。最終transcribeで連結して1本のtranscriptに。UIで『中断点』を波形に表示</t>
        </is>
      </c>
      <c r="G65" s="59" t="inlineStr">
        <is>
          <t>voice_memos(改),17_offline_mobile</t>
        </is>
      </c>
      <c r="H65" s="59" t="inlineStr">
        <is>
          <t>対応</t>
        </is>
      </c>
    </row>
    <row r="66">
      <c r="A66" s="59" t="n">
        <v>62</v>
      </c>
      <c r="B66" s="59" t="inlineStr">
        <is>
          <t>F-S14-3</t>
        </is>
      </c>
      <c r="C66" s="59" t="inlineStr">
        <is>
          <t>MOD</t>
        </is>
      </c>
      <c r="D66" s="59" t="inlineStr">
        <is>
          <t>S14 島田</t>
        </is>
      </c>
      <c r="E66" s="59" t="inlineStr">
        <is>
          <t>オフラインキュー成功時のフィードバック非対称</t>
        </is>
      </c>
      <c r="F66" s="59" t="inlineStr">
        <is>
          <t>sync_success_badge(toast: 同期完了 N件)を追加。過剰通知抑制でthrottle 10秒/件単位bundle</t>
        </is>
      </c>
      <c r="G66" s="59" t="inlineStr">
        <is>
          <t>17_offline_mobile,sync_success_log(新)</t>
        </is>
      </c>
      <c r="H66" s="59" t="inlineStr">
        <is>
          <t>対応</t>
        </is>
      </c>
    </row>
    <row r="67">
      <c r="A67" s="59" t="n">
        <v>63</v>
      </c>
      <c r="B67" s="59" t="inlineStr">
        <is>
          <t>F-S14-4</t>
        </is>
      </c>
      <c r="C67" s="59" t="inlineStr">
        <is>
          <t>MIN</t>
        </is>
      </c>
      <c r="D67" s="59" t="inlineStr">
        <is>
          <t>S14 池田</t>
        </is>
      </c>
      <c r="E67" s="59" t="inlineStr">
        <is>
          <t>SC-63 Zoom historicalのrate limit fallback未定義</t>
        </is>
      </c>
      <c r="F67" s="59" t="inlineStr">
        <is>
          <t>q_zoom_historical_importにexponential backoff+残り本数表示+失敗本数のretry queue UI(SC-63)を仕様化</t>
        </is>
      </c>
      <c r="G67" s="59" t="inlineStr">
        <is>
          <t>q_zoom_historical_import(改),SC-63</t>
        </is>
      </c>
      <c r="H67" s="59" t="inlineStr">
        <is>
          <t>対応</t>
        </is>
      </c>
    </row>
    <row r="68">
      <c r="A68" s="59" t="n">
        <v>64</v>
      </c>
      <c r="B68" s="59" t="inlineStr">
        <is>
          <t>F-UX-1</t>
        </is>
      </c>
      <c r="C68" s="59" t="inlineStr">
        <is>
          <t>CRIT</t>
        </is>
      </c>
      <c r="D68" s="59" t="inlineStr">
        <is>
          <t>横断 Mr. Chen</t>
        </is>
      </c>
      <c r="E68" s="59" t="inlineStr">
        <is>
          <t>i18nがUI文言中心、PDF/watermark/メールテンプレ未対応</t>
        </is>
      </c>
      <c r="F68" s="59" t="inlineStr">
        <is>
          <t>export_templates(locale, kind='pdf|email|watermark', body)テーブル定義。share/[token]のロケール解決ルール(token原作成者locale or recipient Accept-Language)を明記</t>
        </is>
      </c>
      <c r="G68" s="59" t="inlineStr">
        <is>
          <t>export_templates(新),21_a11y_i18n</t>
        </is>
      </c>
      <c r="H68" s="59" t="inlineStr">
        <is>
          <t>対応</t>
        </is>
      </c>
    </row>
    <row r="69">
      <c r="A69" s="59" t="n">
        <v>65</v>
      </c>
      <c r="B69" s="59" t="inlineStr">
        <is>
          <t>F-UX-2</t>
        </is>
      </c>
      <c r="C69" s="59" t="inlineStr">
        <is>
          <t>CRIT</t>
        </is>
      </c>
      <c r="D69" s="59" t="inlineStr">
        <is>
          <t>横断 川島</t>
        </is>
      </c>
      <c r="E69" s="59" t="inlineStr">
        <is>
          <t>a11y要件がコンポーネント単位で未具体化</t>
        </is>
      </c>
      <c r="F69" s="59" t="inlineStr">
        <is>
          <t>02_screensに各SCの『a11y要件』列追加し、role/aria-label/aria-live/focus trap対象を明記。dashboardロード時はoff→操作後polite、3件以上はサマリ→詳細onデマンド</t>
        </is>
      </c>
      <c r="G69" s="59" t="inlineStr">
        <is>
          <t>02_screens(改),21_a11y_i18n</t>
        </is>
      </c>
      <c r="H69" s="59" t="inlineStr">
        <is>
          <t>対応</t>
        </is>
      </c>
    </row>
    <row r="70">
      <c r="A70" s="59" t="n">
        <v>66</v>
      </c>
      <c r="B70" s="59" t="inlineStr">
        <is>
          <t>F-UX-3</t>
        </is>
      </c>
      <c r="C70" s="59" t="inlineStr">
        <is>
          <t>MOD</t>
        </is>
      </c>
      <c r="D70" s="59" t="inlineStr">
        <is>
          <t>横断 島田</t>
        </is>
      </c>
      <c r="E70" s="59" t="inlineStr">
        <is>
          <t>個人エクスポートの対象範囲・パスフレーズ受取手段未定義</t>
        </is>
      </c>
      <c r="F70" s="59" t="inlineStr">
        <is>
          <t>export_request_formに対象種別チェックボックス(contacts/meetings/recordings_audio/recordings_video/notes/voice_memos)、パスフレーズはSMS or 別メールアドレスへ送付の二経路、export_url有効期限7d</t>
        </is>
      </c>
      <c r="G70" s="59" t="inlineStr">
        <is>
          <t>SC-67(改),AP-96(改),data_exports(改)</t>
        </is>
      </c>
      <c r="H70" s="59" t="inlineStr">
        <is>
          <t>対応</t>
        </is>
      </c>
    </row>
    <row r="71">
      <c r="A71" s="59" t="n">
        <v>67</v>
      </c>
      <c r="B71" s="59" t="inlineStr">
        <is>
          <t>F-UX-4</t>
        </is>
      </c>
      <c r="C71" s="59" t="inlineStr">
        <is>
          <t>MOD</t>
        </is>
      </c>
      <c r="D71" s="59" t="inlineStr">
        <is>
          <t>横断 全員</t>
        </is>
      </c>
      <c r="E71" s="59" t="inlineStr">
        <is>
          <t>クロスチャネル通知の重複抑制ルール無し</t>
        </is>
      </c>
      <c r="F71" s="59" t="inlineStr">
        <is>
          <t>notification_dispatch_log(event_id, channel, dispatched_at)。同event_idは優先channel(Push&gt;Slack&gt;Email)で5分以内の重複抑制。ユーザ設定にchannel優先順位ピッカー追加</t>
        </is>
      </c>
      <c r="G71" s="59" t="inlineStr">
        <is>
          <t>notification_dispatch_log(新),SC-66</t>
        </is>
      </c>
      <c r="H71" s="59" t="inlineStr">
        <is>
          <t>対応</t>
        </is>
      </c>
    </row>
    <row r="72">
      <c r="A72" s="59" t="n">
        <v>68</v>
      </c>
      <c r="B72" s="59" t="inlineStr">
        <is>
          <t>F-UX-5</t>
        </is>
      </c>
      <c r="C72" s="59" t="inlineStr">
        <is>
          <t>MIN</t>
        </is>
      </c>
      <c r="D72" s="59" t="inlineStr">
        <is>
          <t>横断 西村</t>
        </is>
      </c>
      <c r="E72" s="59" t="inlineStr">
        <is>
          <t>help_articlesの初期コンテンツseed規定なし</t>
        </is>
      </c>
      <c r="F72" s="59" t="inlineStr">
        <is>
          <t>help_articles_seed.md作成、最低20記事(オンボ/検索/通知/録音同意/退職/feature flag/i18n/エクスポート等)をP1リリース時に投入する受入条件を24に追加</t>
        </is>
      </c>
      <c r="G72" s="59" t="inlineStr">
        <is>
          <t>help_articles(改),24_acceptance_test_matrix</t>
        </is>
      </c>
      <c r="H72" s="59" t="inlineStr">
        <is>
          <t>対応</t>
        </is>
      </c>
    </row>
    <row r="74">
      <c r="A74" s="60" t="inlineStr">
        <is>
          <t>■ v2.4 partial 解消マーク</t>
        </is>
      </c>
    </row>
    <row r="75">
      <c r="A75" s="60" t="inlineStr">
        <is>
          <t>F-S7-4: opt-in必須化(28シート#2)で完全解消</t>
        </is>
      </c>
    </row>
    <row r="76">
      <c r="A76" s="60" t="inlineStr">
        <is>
          <t>F-S11-3: 3者承認(28シート#3)で完全解消</t>
        </is>
      </c>
    </row>
    <row r="77">
      <c r="A77" s="60" t="inlineStr">
        <is>
          <t>F-S13-4: speaker_confidence表示(28シート#4)で完全解消</t>
        </is>
      </c>
    </row>
    <row r="78">
      <c r="A78" s="60" t="inlineStr">
        <is>
          <t>F-S14-4: DLQ routing+SC-86(28シート#5)で完全解消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style="28" min="1" max="1"/>
    <col width="8" customWidth="1" style="28" min="2" max="2"/>
    <col width="8" customWidth="1" style="28" min="3" max="3"/>
    <col width="12" customWidth="1" style="28" min="4" max="4"/>
    <col width="45" customWidth="1" style="28" min="5" max="5"/>
    <col width="50" customWidth="1" style="28" min="6" max="6"/>
    <col width="22" customWidth="1" style="28" min="7" max="7"/>
    <col width="8" customWidth="1" style="28" min="8" max="8"/>
  </cols>
  <sheetData>
    <row r="1">
      <c r="A1" s="56" t="inlineStr">
        <is>
          <t>v2.3再シミュ残課題の対応(v2.4)</t>
        </is>
      </c>
    </row>
    <row r="2">
      <c r="A2" s="57" t="inlineStr">
        <is>
          <t>再演者ラウンドで発見されたcrit 1+partial 4+新規mod 5+min 9 の対応</t>
        </is>
      </c>
    </row>
    <row r="4">
      <c r="A4" s="58" t="inlineStr">
        <is>
          <t>#</t>
        </is>
      </c>
      <c r="B4" s="58" t="inlineStr">
        <is>
          <t>Severity</t>
        </is>
      </c>
      <c r="C4" s="58" t="inlineStr">
        <is>
          <t>ID</t>
        </is>
      </c>
      <c r="D4" s="58" t="inlineStr">
        <is>
          <t>Scene</t>
        </is>
      </c>
      <c r="E4" s="58" t="inlineStr">
        <is>
          <t>摩擦</t>
        </is>
      </c>
      <c r="F4" s="58" t="inlineStr">
        <is>
          <t>対応(v2.4)</t>
        </is>
      </c>
      <c r="G4" s="58" t="inlineStr">
        <is>
          <t>関連</t>
        </is>
      </c>
      <c r="H4" s="58" t="inlineStr">
        <is>
          <t>ステータス</t>
        </is>
      </c>
    </row>
    <row r="5">
      <c r="A5" s="59" t="n">
        <v>1</v>
      </c>
      <c r="B5" s="59" t="inlineStr">
        <is>
          <t>CRIT</t>
        </is>
      </c>
      <c r="C5" s="59" t="inlineStr">
        <is>
          <t>NF-S4-1</t>
        </is>
      </c>
      <c r="D5" s="59" t="inlineStr">
        <is>
          <t>S4</t>
        </is>
      </c>
      <c r="E5" s="59" t="inlineStr">
        <is>
          <t>verbal_logged_by_owner時のaudio_proof_segment_idがpre_consent_bufferのpurgeと循環依存</t>
        </is>
      </c>
      <c r="F5" s="59" t="inlineStr">
        <is>
          <t>pre_consent_audio_buffersテーブル新設(meeting_id,start,end,storage_url,purge_at,verbal_proof_locked DEFAULT false,locked_until)。verbal同意取得時は該当バッファをverbal_proof_locked=trueでpurge48h保留→audio_proof_segment_idで固定参照→保持期間はretention_policiesに連動。q_pre_consent_buffer_purgeはlocked=falseのみ対象に修正</t>
        </is>
      </c>
      <c r="G5" s="59" t="inlineStr">
        <is>
          <t>16_compliance_legal,03_data_model,q_pre_consent_buffer_purge</t>
        </is>
      </c>
      <c r="H5" s="59" t="inlineStr">
        <is>
          <t>対応</t>
        </is>
      </c>
    </row>
    <row r="6">
      <c r="A6" s="59" t="n">
        <v>2</v>
      </c>
      <c r="B6" s="59" t="inlineStr">
        <is>
          <t>MOD</t>
        </is>
      </c>
      <c r="C6" s="59" t="inlineStr">
        <is>
          <t>F-S7-4(再)</t>
        </is>
      </c>
      <c r="D6" s="59" t="inlineStr">
        <is>
          <t>S7</t>
        </is>
      </c>
      <c r="E6" s="59" t="inlineStr">
        <is>
          <t>コーチ自動共有がopt-outデフォルトで新人渡辺の心理的安全性低下</t>
        </is>
      </c>
      <c r="F6" s="59" t="inlineStr">
        <is>
          <t>デフォルトopt-in必須(roleplay_consent.coach_share=opt_in)に変更。初回起動時に明示同意モーダル(reusable_for_review_only/team_share_blur_name/full_share)。SC-21に共有範囲インジケータ常駐(誰に・どこまで)。owner_self_share優先</t>
        </is>
      </c>
      <c r="G6" s="59" t="inlineStr">
        <is>
          <t>SC-21,roleplay_consent(新),share_safety_filters</t>
        </is>
      </c>
      <c r="H6" s="59" t="inlineStr">
        <is>
          <t>対応</t>
        </is>
      </c>
    </row>
    <row r="7">
      <c r="A7" s="59" t="n">
        <v>3</v>
      </c>
      <c r="B7" s="59" t="inlineStr">
        <is>
          <t>MOD</t>
        </is>
      </c>
      <c r="C7" s="59" t="inlineStr">
        <is>
          <t>F-S11-3(再)</t>
        </is>
      </c>
      <c r="D7" s="59" t="inlineStr">
        <is>
          <t>S11</t>
        </is>
      </c>
      <c r="E7" s="59" t="inlineStr">
        <is>
          <t>legal_hold時の削除依頼で3者承認(法務+情シス+本人代理人)経路がdual_approverのみ</t>
        </is>
      </c>
      <c r="F7" s="59" t="inlineStr">
        <is>
          <t>data_deletion_requestsにlegal_hold_override_approver_id+legal_hold_override_reason+subject_representative_id追加。SC-60aに3者承認モーダル(法務+情シス+代理人)+各役割の承認順序enforce(法務→情シス→代理人)+承認ログを audit_logs+chain of custody</t>
        </is>
      </c>
      <c r="G7" s="59" t="inlineStr">
        <is>
          <t>SC-60a,data_deletion_requests</t>
        </is>
      </c>
      <c r="H7" s="59" t="inlineStr">
        <is>
          <t>対応</t>
        </is>
      </c>
    </row>
    <row r="8">
      <c r="A8" s="59" t="n">
        <v>4</v>
      </c>
      <c r="B8" s="59" t="inlineStr">
        <is>
          <t>MIN</t>
        </is>
      </c>
      <c r="C8" s="59" t="inlineStr">
        <is>
          <t>F-S13-4(再)</t>
        </is>
      </c>
      <c r="D8" s="59" t="inlineStr">
        <is>
          <t>S13</t>
        </is>
      </c>
      <c r="E8" s="59" t="inlineStr">
        <is>
          <t>speaker_status=pendingの発話がchat_citationに混入時、UI上の警告未明記</t>
        </is>
      </c>
      <c r="F8" s="59" t="inlineStr">
        <is>
          <t>chat_citationsにspeaker_confidence(numeric)追加。SC-72/SC-43のcitation cardでpending時は破線枠+警告アイコン+aria-label='話者未確定'。confidence&lt;0.6で警告色、&lt;0.4で表示抑制(citation降格)</t>
        </is>
      </c>
      <c r="G8" s="59" t="inlineStr">
        <is>
          <t>chat_citations,SC-72,SC-43,21_a11y_i18n</t>
        </is>
      </c>
      <c r="H8" s="59" t="inlineStr">
        <is>
          <t>対応</t>
        </is>
      </c>
    </row>
    <row r="9">
      <c r="A9" s="59" t="n">
        <v>5</v>
      </c>
      <c r="B9" s="59" t="inlineStr">
        <is>
          <t>MIN</t>
        </is>
      </c>
      <c r="C9" s="59" t="inlineStr">
        <is>
          <t>F-S14-4(再)</t>
        </is>
      </c>
      <c r="D9" s="59" t="inlineStr">
        <is>
          <t>S14</t>
        </is>
      </c>
      <c r="E9" s="59" t="inlineStr">
        <is>
          <t>Zoom historical retryのretry_count上限/backoff/DLQ未明記</t>
        </is>
      </c>
      <c r="F9" s="59" t="inlineStr">
        <is>
          <t>q_legacy_import_zoom: max_retries=3, exponential backoff(2^n min, max 16min), 3失敗→q_legacy_import_dlqへrouting。SC-86改修(/admin/import-dlq可視化+手動再実行+CSVエクスポート)</t>
        </is>
      </c>
      <c r="G9" s="59" t="inlineStr">
        <is>
          <t>q_legacy_import_zoom,q_legacy_import_dlq(新),SC-86改修</t>
        </is>
      </c>
      <c r="H9" s="59" t="inlineStr">
        <is>
          <t>対応</t>
        </is>
      </c>
    </row>
    <row r="10">
      <c r="A10" s="59" t="n">
        <v>6</v>
      </c>
      <c r="B10" s="59" t="inlineStr">
        <is>
          <t>MOD</t>
        </is>
      </c>
      <c r="C10" s="59" t="inlineStr">
        <is>
          <t>NF-S2-1</t>
        </is>
      </c>
      <c r="D10" s="59" t="inlineStr">
        <is>
          <t>S2</t>
        </is>
      </c>
      <c r="E10" s="59" t="inlineStr">
        <is>
          <t>佐々木が出張時OOO登録忘れ→dynamic timeoutが通常=4hで適用される</t>
        </is>
      </c>
      <c r="F10" s="59" t="inlineStr">
        <is>
          <t>q_internal_invite_dynamic_timeout に heuristic 追加: (a) Gmail内のflight確認メール検出(72h以内, 'eチケット|搭乗|フライト'パターン), (b) 同期間にcalendar_holdsが集中, (c) 手動awayトグル(SC-66に1タップ)。ヒット時はtimeout=24hに動的延長</t>
        </is>
      </c>
      <c r="G10" s="59" t="inlineStr">
        <is>
          <t>q_internal_invite_dynamic_timeout,SC-66</t>
        </is>
      </c>
      <c r="H10" s="59" t="inlineStr">
        <is>
          <t>対応</t>
        </is>
      </c>
    </row>
    <row r="11">
      <c r="A11" s="59" t="n">
        <v>7</v>
      </c>
      <c r="B11" s="59" t="inlineStr">
        <is>
          <t>MOD</t>
        </is>
      </c>
      <c r="C11" s="59" t="inlineStr">
        <is>
          <t>NF-S3-1</t>
        </is>
      </c>
      <c r="D11" s="59" t="inlineStr">
        <is>
          <t>S3</t>
        </is>
      </c>
      <c r="E11" s="59" t="inlineStr">
        <is>
          <t>convert_to_visit_meeting時に未登録CCの住所/電話が無く訪問計画作れない</t>
        </is>
      </c>
      <c r="F11" s="59" t="inlineStr">
        <is>
          <t>AP-64レスポンスにrequired_followup_fields[](address/phone/...)を追加。convert_to_visit_meeting選択時はSC-41でcontact化prompt必須化(住所/電話入力フォーム)。未充足時はsuggested_actionの実行を保留</t>
        </is>
      </c>
      <c r="G11" s="59" t="inlineStr">
        <is>
          <t>AP-64,SC-41</t>
        </is>
      </c>
      <c r="H11" s="59" t="inlineStr">
        <is>
          <t>対応</t>
        </is>
      </c>
    </row>
    <row r="12">
      <c r="A12" s="59" t="n">
        <v>8</v>
      </c>
      <c r="B12" s="59" t="inlineStr">
        <is>
          <t>MOD</t>
        </is>
      </c>
      <c r="C12" s="59" t="inlineStr">
        <is>
          <t>NF-S5-1</t>
        </is>
      </c>
      <c r="D12" s="59" t="inlineStr">
        <is>
          <t>S5</t>
        </is>
      </c>
      <c r="E12" s="59" t="inlineStr">
        <is>
          <t>インライン編集連発でq_derived_artifacts_regenが多発しper-meeting cap $0.50に到達しやすい</t>
        </is>
      </c>
      <c r="F12" s="59" t="inlineStr">
        <is>
          <t>q_derived_artifacts_regenにdebounce 60秒+楽観ロックでOCC。derived_artifacts_status.regen_debounce_until/regen_lock_version追加。連続編集は最後の1回だけ走る。コスト超過時はadminにSlack</t>
        </is>
      </c>
      <c r="G12" s="59" t="inlineStr">
        <is>
          <t>q_derived_artifacts_regen,derived_artifacts_status</t>
        </is>
      </c>
      <c r="H12" s="59" t="inlineStr">
        <is>
          <t>対応</t>
        </is>
      </c>
    </row>
    <row r="13">
      <c r="A13" s="59" t="n">
        <v>9</v>
      </c>
      <c r="B13" s="59" t="inlineStr">
        <is>
          <t>MOD</t>
        </is>
      </c>
      <c r="C13" s="59" t="inlineStr">
        <is>
          <t>NF-UX-1</t>
        </is>
      </c>
      <c r="D13" s="59" t="inlineStr">
        <is>
          <t>横断</t>
        </is>
      </c>
      <c r="E13" s="59" t="inlineStr">
        <is>
          <t>share[token]閲覧時、PDFはen-USだがvoice_memo transcriptは日本語のまま</t>
        </is>
      </c>
      <c r="F13" s="59" t="inlineStr">
        <is>
          <t>voice_memo_transcript_translationsテーブル(memo_id,locale,text,quality='machine'|'human')。AP-139改で閲覧時オンザフライ翻訳(Anthropic/DeepL選択可)。share/[token]に machine_translated_en バッジ+quality_disclaimer表示</t>
        </is>
      </c>
      <c r="G13" s="59" t="inlineStr">
        <is>
          <t>voice_memo_transcript_translations(新),AP-139,SC-31</t>
        </is>
      </c>
      <c r="H13" s="59" t="inlineStr">
        <is>
          <t>対応</t>
        </is>
      </c>
    </row>
    <row r="14">
      <c r="A14" s="59" t="n">
        <v>10</v>
      </c>
      <c r="B14" s="59" t="inlineStr">
        <is>
          <t>MOD</t>
        </is>
      </c>
      <c r="C14" s="59" t="inlineStr">
        <is>
          <t>NF-S11-1(統合)</t>
        </is>
      </c>
      <c r="D14" s="59" t="inlineStr">
        <is>
          <t>S11</t>
        </is>
      </c>
      <c r="E14" s="59" t="inlineStr">
        <is>
          <t>訴訟係属時の代理人承認ログ未保存</t>
        </is>
      </c>
      <c r="F14" s="59" t="inlineStr">
        <is>
          <t>F-S11-3再 と統合(同行で対応)</t>
        </is>
      </c>
      <c r="G14" s="59" t="inlineStr">
        <is>
          <t>-</t>
        </is>
      </c>
      <c r="H14" s="59" t="inlineStr">
        <is>
          <t>対応(統合)</t>
        </is>
      </c>
    </row>
    <row r="15">
      <c r="A15" s="59" t="n">
        <v>11</v>
      </c>
      <c r="B15" s="59" t="inlineStr">
        <is>
          <t>MIN</t>
        </is>
      </c>
      <c r="C15" s="59" t="inlineStr">
        <is>
          <t>NF-S2-2</t>
        </is>
      </c>
      <c r="D15" s="59" t="inlineStr">
        <is>
          <t>S2</t>
        </is>
      </c>
      <c r="E15" s="59" t="inlineStr">
        <is>
          <t>hold_visibility='attendees_dimmed'はGoogle Calendar APIが個別attendee transparency切替に未対応</t>
        </is>
      </c>
      <c r="F15" s="59" t="inlineStr">
        <is>
          <t>設計変更: hold_visibility='attendees_dimmed'時は同席者へinvite送信せずownerカレンダーのみtransparent予定。確定時にinvite発行。06_external_integrationsにGoogle Calendar API制約を明記</t>
        </is>
      </c>
      <c r="G15" s="59" t="inlineStr">
        <is>
          <t>calendar_holds,06_external_integrations</t>
        </is>
      </c>
      <c r="H15" s="59" t="inlineStr">
        <is>
          <t>対応</t>
        </is>
      </c>
    </row>
    <row r="16">
      <c r="A16" s="59" t="n">
        <v>12</v>
      </c>
      <c r="B16" s="59" t="inlineStr">
        <is>
          <t>MIN</t>
        </is>
      </c>
      <c r="C16" s="59" t="inlineStr">
        <is>
          <t>NF-S4-2</t>
        </is>
      </c>
      <c r="D16" s="59" t="inlineStr">
        <is>
          <t>S4</t>
        </is>
      </c>
      <c r="E16" s="59" t="inlineStr">
        <is>
          <t>録画停止アラートのSMS送信が本人にも飛んで冗長(本人が誤停止の場合)</t>
        </is>
      </c>
      <c r="F16" s="59" t="inlineStr">
        <is>
          <t>q_zoom_recording_pause_alert payload paused_by_user_idで分岐: 本人=Pushのみ, admin=Push+SMS。23_observability_alerts更新</t>
        </is>
      </c>
      <c r="G16" s="59" t="inlineStr">
        <is>
          <t>q_zoom_recording_pause_alert,23_observability_alerts</t>
        </is>
      </c>
      <c r="H16" s="59" t="inlineStr">
        <is>
          <t>対応</t>
        </is>
      </c>
    </row>
    <row r="17">
      <c r="A17" s="59" t="n">
        <v>13</v>
      </c>
      <c r="B17" s="59" t="inlineStr">
        <is>
          <t>MIN</t>
        </is>
      </c>
      <c r="C17" s="59" t="inlineStr">
        <is>
          <t>NF-S5-2</t>
        </is>
      </c>
      <c r="D17" s="59" t="inlineStr">
        <is>
          <t>S5</t>
        </is>
      </c>
      <c r="E17" s="59" t="inlineStr">
        <is>
          <t>former_employee警告とマスキング済表示の色衝突</t>
        </is>
      </c>
      <c r="F17" s="59" t="inlineStr">
        <is>
          <t>02_screens 表示順序ルール列を追加。優先順位: former_employee警告(黄ボーダー) &gt; マスキング済(灰アイコン) &gt; 通常。aria-describedbyで両方読み上げ</t>
        </is>
      </c>
      <c r="G17" s="59" t="inlineStr">
        <is>
          <t>02_screens(改),SC-43,SC-46</t>
        </is>
      </c>
      <c r="H17" s="59" t="inlineStr">
        <is>
          <t>対応</t>
        </is>
      </c>
    </row>
    <row r="18">
      <c r="A18" s="59" t="n">
        <v>14</v>
      </c>
      <c r="B18" s="59" t="inlineStr">
        <is>
          <t>MIN</t>
        </is>
      </c>
      <c r="C18" s="59" t="inlineStr">
        <is>
          <t>NF-S8-1</t>
        </is>
      </c>
      <c r="D18" s="59" t="inlineStr">
        <is>
          <t>S8</t>
        </is>
      </c>
      <c r="E18" s="59" t="inlineStr">
        <is>
          <t>AI予測信頼区間が低い時の鈴木の判断基準/グレー表示閾値曖昧</t>
        </is>
      </c>
      <c r="F18" s="59" t="inlineStr">
        <is>
          <t>AT-S8に信頼区間しきい値明記: &lt;0.6=警告(灰背景+ヒント), &lt;0.4=非表示(別タブ『要レビュー』)。運用ガイドにbest practice追加</t>
        </is>
      </c>
      <c r="G18" s="59" t="inlineStr">
        <is>
          <t>24_acceptance_test_matrix,SC-25/49</t>
        </is>
      </c>
      <c r="H18" s="59" t="inlineStr">
        <is>
          <t>対応</t>
        </is>
      </c>
    </row>
    <row r="19">
      <c r="A19" s="59" t="n">
        <v>15</v>
      </c>
      <c r="B19" s="59" t="inlineStr">
        <is>
          <t>MIN</t>
        </is>
      </c>
      <c r="C19" s="59" t="inlineStr">
        <is>
          <t>NF-S9-1</t>
        </is>
      </c>
      <c r="D19" s="59" t="inlineStr">
        <is>
          <t>S9</t>
        </is>
      </c>
      <c r="E19" s="59" t="inlineStr">
        <is>
          <t>contract_special_terms taxonomyの新カテゴリ追加運用フロー(誰が承認/版管理)未定義</t>
        </is>
      </c>
      <c r="F19" s="59" t="inlineStr">
        <is>
          <t>14_state_machinesにtaxonomy_change状態(proposed→legal_review→admin_approve→active→archived)追加。承認は法務+情シス二段。version列+changelog</t>
        </is>
      </c>
      <c r="G19" s="59" t="inlineStr">
        <is>
          <t>contract_special_terms_taxonomy(新),14_state_machines</t>
        </is>
      </c>
      <c r="H19" s="59" t="inlineStr">
        <is>
          <t>対応</t>
        </is>
      </c>
    </row>
    <row r="20">
      <c r="A20" s="59" t="n">
        <v>16</v>
      </c>
      <c r="B20" s="59" t="inlineStr">
        <is>
          <t>MIN</t>
        </is>
      </c>
      <c r="C20" s="59" t="inlineStr">
        <is>
          <t>NF-S10-1</t>
        </is>
      </c>
      <c r="D20" s="59" t="inlineStr">
        <is>
          <t>S10</t>
        </is>
      </c>
      <c r="E20" s="59" t="inlineStr">
        <is>
          <t>PITR復旧申請のRTO/RPO目安がSC-78に未表示</t>
        </is>
      </c>
      <c r="F20" s="59" t="inlineStr">
        <is>
          <t>SC-78にRTO目安(&lt;=4h)+RPO(15min)+ジョブキュー混雑状況を表示。AP-129にestimateエンドポイント追加(eta_min返却)</t>
        </is>
      </c>
      <c r="G20" s="59" t="inlineStr">
        <is>
          <t>SC-78,AP-129改</t>
        </is>
      </c>
      <c r="H20" s="59" t="inlineStr">
        <is>
          <t>対応</t>
        </is>
      </c>
    </row>
    <row r="21">
      <c r="A21" s="59" t="n">
        <v>17</v>
      </c>
      <c r="B21" s="59" t="inlineStr">
        <is>
          <t>MIN</t>
        </is>
      </c>
      <c r="C21" s="59" t="inlineStr">
        <is>
          <t>NF-S13-1(統合)</t>
        </is>
      </c>
      <c r="D21" s="59" t="inlineStr">
        <is>
          <t>S13</t>
        </is>
      </c>
      <c r="E21" s="59" t="inlineStr">
        <is>
          <t>speaker_confidence表示</t>
        </is>
      </c>
      <c r="F21" s="59" t="inlineStr">
        <is>
          <t>F-S13-4再 と統合(同行で対応)</t>
        </is>
      </c>
      <c r="G21" s="59" t="inlineStr">
        <is>
          <t>-</t>
        </is>
      </c>
      <c r="H21" s="59" t="inlineStr">
        <is>
          <t>対応(統合)</t>
        </is>
      </c>
    </row>
    <row r="22">
      <c r="A22" s="59" t="n">
        <v>18</v>
      </c>
      <c r="B22" s="59" t="inlineStr">
        <is>
          <t>MIN</t>
        </is>
      </c>
      <c r="C22" s="59" t="inlineStr">
        <is>
          <t>NF-S14-1(統合)</t>
        </is>
      </c>
      <c r="D22" s="59" t="inlineStr">
        <is>
          <t>S14</t>
        </is>
      </c>
      <c r="E22" s="59" t="inlineStr">
        <is>
          <t>Zoom DLQ routing</t>
        </is>
      </c>
      <c r="F22" s="59" t="inlineStr">
        <is>
          <t>F-S14-4再 と統合</t>
        </is>
      </c>
      <c r="G22" s="59" t="inlineStr">
        <is>
          <t>-</t>
        </is>
      </c>
      <c r="H22" s="59" t="inlineStr">
        <is>
          <t>対応(統合)</t>
        </is>
      </c>
    </row>
    <row r="23">
      <c r="A23" s="59" t="n">
        <v>19</v>
      </c>
      <c r="B23" s="59" t="inlineStr">
        <is>
          <t>MIN</t>
        </is>
      </c>
      <c r="C23" s="59" t="inlineStr">
        <is>
          <t>NF-S7-1(統合)</t>
        </is>
      </c>
      <c r="D23" s="59" t="inlineStr">
        <is>
          <t>S7</t>
        </is>
      </c>
      <c r="E23" s="59" t="inlineStr">
        <is>
          <t>コーチ自動共有 opt-in</t>
        </is>
      </c>
      <c r="F23" s="59" t="inlineStr">
        <is>
          <t>F-S7-4再 と統合</t>
        </is>
      </c>
      <c r="G23" s="59" t="inlineStr">
        <is>
          <t>-</t>
        </is>
      </c>
      <c r="H23" s="59" t="inlineStr">
        <is>
          <t>対応(統合)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style="28" min="1" max="1"/>
    <col width="8" customWidth="1" style="28" min="2" max="2"/>
    <col width="12" customWidth="1" style="28" min="3" max="3"/>
    <col width="12" customWidth="1" style="28" min="4" max="4"/>
    <col width="45" customWidth="1" style="28" min="5" max="5"/>
    <col width="50" customWidth="1" style="28" min="6" max="6"/>
    <col width="22" customWidth="1" style="28" min="7" max="7"/>
    <col width="8" customWidth="1" style="28" min="8" max="8"/>
  </cols>
  <sheetData>
    <row r="1">
      <c r="A1" s="56" t="inlineStr">
        <is>
          <t>v2.4 R3再シミュ minor 10件の対応(v2.5)</t>
        </is>
      </c>
    </row>
    <row r="2">
      <c r="A2" s="57" t="inlineStr">
        <is>
          <t>R3再演者で発見されたminor 10件すべて反映</t>
        </is>
      </c>
    </row>
    <row r="4">
      <c r="A4" s="58" t="inlineStr">
        <is>
          <t>#</t>
        </is>
      </c>
      <c r="B4" s="58" t="inlineStr">
        <is>
          <t>Severity</t>
        </is>
      </c>
      <c r="C4" s="58" t="inlineStr">
        <is>
          <t>ID</t>
        </is>
      </c>
      <c r="D4" s="58" t="inlineStr">
        <is>
          <t>Scene</t>
        </is>
      </c>
      <c r="E4" s="58" t="inlineStr">
        <is>
          <t>摩擦</t>
        </is>
      </c>
      <c r="F4" s="58" t="inlineStr">
        <is>
          <t>対応(v2.5)</t>
        </is>
      </c>
      <c r="G4" s="58" t="inlineStr">
        <is>
          <t>関連</t>
        </is>
      </c>
      <c r="H4" s="58" t="inlineStr">
        <is>
          <t>ステータス</t>
        </is>
      </c>
    </row>
    <row r="5">
      <c r="A5" s="59" t="n">
        <v>1</v>
      </c>
      <c r="B5" s="59" t="inlineStr">
        <is>
          <t>MIN</t>
        </is>
      </c>
      <c r="C5" s="59" t="inlineStr">
        <is>
          <t>NF3-S14-1</t>
        </is>
      </c>
      <c r="D5" s="59" t="inlineStr">
        <is>
          <t>S14</t>
        </is>
      </c>
      <c r="E5" s="59" t="inlineStr">
        <is>
          <t>SC-86が /settings/export のまま、/admin/import-dlq の独立画面定義なし</t>
        </is>
      </c>
      <c r="F5" s="59" t="inlineStr">
        <is>
          <t>SC-126 /admin/import-dlq を独立画面として新設(DLQTable+RetryButton+CSVExportButton+aria-label)。SC-86を /settings/export 専用に戻し、参照を整理</t>
        </is>
      </c>
      <c r="G5" s="59" t="inlineStr">
        <is>
          <t>02_screens(SC-126新設,SC-86整理)</t>
        </is>
      </c>
      <c r="H5" s="59" t="inlineStr">
        <is>
          <t>対応</t>
        </is>
      </c>
    </row>
    <row r="6">
      <c r="A6" s="59" t="n">
        <v>2</v>
      </c>
      <c r="B6" s="59" t="inlineStr">
        <is>
          <t>MIN</t>
        </is>
      </c>
      <c r="C6" s="59" t="inlineStr">
        <is>
          <t>NF3-UX-2</t>
        </is>
      </c>
      <c r="D6" s="59" t="inlineStr">
        <is>
          <t>横断</t>
        </is>
      </c>
      <c r="E6" s="59" t="inlineStr">
        <is>
          <t>voice_memo human翻訳の発注フロー/SLA/エスカレUI未定義</t>
        </is>
      </c>
      <c r="F6" s="59" t="inlineStr">
        <is>
          <t>AP-139改v2.5でレスポンスに{can_request_human:true, sla_business_days:5}追加。SC-31 share に『人手翻訳を依頼』リンク。q_voice_memo_translate_human ジョブ新設(SLA 5営業日)。voice_memo_transcript_translations.translation_status(machine|human_requested|human_in_progress|human_done)</t>
        </is>
      </c>
      <c r="G6" s="59" t="inlineStr">
        <is>
          <t>AP-139改,SC-31改,q_voice_memo_translate_human(新)</t>
        </is>
      </c>
      <c r="H6" s="59" t="inlineStr">
        <is>
          <t>対応</t>
        </is>
      </c>
    </row>
    <row r="7">
      <c r="A7" s="59" t="n">
        <v>3</v>
      </c>
      <c r="B7" s="59" t="inlineStr">
        <is>
          <t>MIN</t>
        </is>
      </c>
      <c r="C7" s="59" t="inlineStr">
        <is>
          <t>NF3-A11Y-1</t>
        </is>
      </c>
      <c r="D7" s="59" t="inlineStr">
        <is>
          <t>横断</t>
        </is>
      </c>
      <c r="E7" s="59" t="inlineStr">
        <is>
          <t>speaker_confidence動的更新時のaria-live通知方針未定義</t>
        </is>
      </c>
      <c r="F7" s="59" t="inlineStr">
        <is>
          <t>21_a11y_i18nに『speaker_confidence更新時 aria-live=politeで"話者確度X%に更新"』追記。SC-72/SC-43のlive region表に追加。再話者識別ジョブ完了で通知発火</t>
        </is>
      </c>
      <c r="G7" s="59" t="inlineStr">
        <is>
          <t>21_a11y_i18n,SC-72,SC-43</t>
        </is>
      </c>
      <c r="H7" s="59" t="inlineStr">
        <is>
          <t>対応</t>
        </is>
      </c>
    </row>
    <row r="8">
      <c r="A8" s="59" t="n">
        <v>4</v>
      </c>
      <c r="B8" s="59" t="inlineStr">
        <is>
          <t>MIN</t>
        </is>
      </c>
      <c r="C8" s="59" t="inlineStr">
        <is>
          <t>NF3-S11-1</t>
        </is>
      </c>
      <c r="D8" s="59" t="inlineStr">
        <is>
          <t>S11</t>
        </is>
      </c>
      <c r="E8" s="59" t="inlineStr">
        <is>
          <t>代理人KYC(POA+本人免許)が identity_verification_method と別建てで未定義</t>
        </is>
      </c>
      <c r="F8" s="59" t="inlineStr">
        <is>
          <t>AP-141にrepresentative_identity_verification_method(power_of_attorney_doc_url 必須+representative_id_doc_url)追加。SC-60a の IdentityVerifyPanel に代理人タブ。16_compliance_legal SOPに『POA原本写し+本人免許写し』必須を明記</t>
        </is>
      </c>
      <c r="G8" s="59" t="inlineStr">
        <is>
          <t>AP-141改,SC-60a改,16_compliance_legal</t>
        </is>
      </c>
      <c r="H8" s="59" t="inlineStr">
        <is>
          <t>対応</t>
        </is>
      </c>
    </row>
    <row r="9">
      <c r="A9" s="59" t="n">
        <v>5</v>
      </c>
      <c r="B9" s="59" t="inlineStr">
        <is>
          <t>MIN</t>
        </is>
      </c>
      <c r="C9" s="59" t="inlineStr">
        <is>
          <t>NF3-S2-1</t>
        </is>
      </c>
      <c r="D9" s="59" t="inlineStr">
        <is>
          <t>S2</t>
        </is>
      </c>
      <c r="E9" s="59" t="inlineStr">
        <is>
          <t>away heuristic Gmail flight検出が72h窓+ja正規表現中心、英文/中文出張メール網羅性不明</t>
        </is>
      </c>
      <c r="F9" s="59" t="inlineStr">
        <is>
          <t>q_away_heuristic_detectのregex/LLM分類器にen-US/zh-CN出張テンプレ追加(itinerary/boarding pass/出差通知/差旅等)。confidence&gt;=0.7閾値明記。AT-S2-AwayHeuristicに多言語ケース追加</t>
        </is>
      </c>
      <c r="G9" s="59" t="inlineStr">
        <is>
          <t>q_away_heuristic_detect改,AT-S2-AwayHeuristic</t>
        </is>
      </c>
      <c r="H9" s="59" t="inlineStr">
        <is>
          <t>対応</t>
        </is>
      </c>
    </row>
    <row r="10">
      <c r="A10" s="59" t="n">
        <v>6</v>
      </c>
      <c r="B10" s="59" t="inlineStr">
        <is>
          <t>MIN</t>
        </is>
      </c>
      <c r="C10" s="59" t="inlineStr">
        <is>
          <t>NF3-S5-1</t>
        </is>
      </c>
      <c r="D10" s="59" t="inlineStr">
        <is>
          <t>S5</t>
        </is>
      </c>
      <c r="E10" s="59" t="inlineStr">
        <is>
          <t>debounce 60s中の田中『今すぐ再生成』手動上書きの優先制御未明記</t>
        </is>
      </c>
      <c r="F10" s="59" t="inlineStr">
        <is>
          <t>AP-137改/AP-148(/api/recordings/[id]/regen-now)で manual_force_regen=true を受付、debounce無視+ロック取得失敗時UIに残り秒数表示。AT-S5-Debounceに手動上書きケース追加</t>
        </is>
      </c>
      <c r="G10" s="59" t="inlineStr">
        <is>
          <t>AP-148(新),SC-11改,AT-S5-Debounce</t>
        </is>
      </c>
      <c r="H10" s="59" t="inlineStr">
        <is>
          <t>対応</t>
        </is>
      </c>
    </row>
    <row r="11">
      <c r="A11" s="59" t="n">
        <v>7</v>
      </c>
      <c r="B11" s="59" t="inlineStr">
        <is>
          <t>MIN</t>
        </is>
      </c>
      <c r="C11" s="59" t="inlineStr">
        <is>
          <t>NF3-S4-1</t>
        </is>
      </c>
      <c r="D11" s="59" t="inlineStr">
        <is>
          <t>S4</t>
        </is>
      </c>
      <c r="E11" s="59" t="inlineStr">
        <is>
          <t>pre_consent_buffer locked_until満了後のverbal_proof再延長手順が未定義</t>
        </is>
      </c>
      <c r="F11" s="59" t="inlineStr">
        <is>
          <t>14_state_machines verbal_proof_locked状態に extend(+48h)遷移追加。最大3回まで(extension_count=3 hard limit)。超過時は自動purge+admin通知+chain of custody注釈</t>
        </is>
      </c>
      <c r="G11" s="59" t="inlineStr">
        <is>
          <t>14_state_machines,pre_consent_audio_buffers改</t>
        </is>
      </c>
      <c r="H11" s="59" t="inlineStr">
        <is>
          <t>対応</t>
        </is>
      </c>
    </row>
    <row r="12">
      <c r="A12" s="59" t="n">
        <v>8</v>
      </c>
      <c r="B12" s="59" t="inlineStr">
        <is>
          <t>MIN</t>
        </is>
      </c>
      <c r="C12" s="59" t="inlineStr">
        <is>
          <t>NF3-S7-1</t>
        </is>
      </c>
      <c r="D12" s="59" t="inlineStr">
        <is>
          <t>S7</t>
        </is>
      </c>
      <c r="E12" s="59" t="inlineStr">
        <is>
          <t>roleplay_consent downgrade時の既存共有済みクリップの遡及マスキング条件未記述</t>
        </is>
      </c>
      <c r="F12" s="59" t="inlineStr">
        <is>
          <t>14_state_machines roleplay_consent downgrade(full_share→team_blurred)時の遡及処理ルール追記: 既存視聴履歴は保持(audit_logsに記録) / 未視聴クリップのみ再ぼかし(再エンコードq_roleplay_clip_reencode起動)。AP-146改responseにaffected_clip_count返却</t>
        </is>
      </c>
      <c r="G12" s="59" t="inlineStr">
        <is>
          <t>14_state_machines,AP-146改,q_roleplay_clip_reencode(新)</t>
        </is>
      </c>
      <c r="H12" s="59" t="inlineStr">
        <is>
          <t>対応</t>
        </is>
      </c>
    </row>
    <row r="13">
      <c r="A13" s="59" t="n">
        <v>9</v>
      </c>
      <c r="B13" s="59" t="inlineStr">
        <is>
          <t>MIN</t>
        </is>
      </c>
      <c r="C13" s="59" t="inlineStr">
        <is>
          <t>NF3-S8-1</t>
        </is>
      </c>
      <c r="D13" s="59" t="inlineStr">
        <is>
          <t>S8</t>
        </is>
      </c>
      <c r="E13" s="59" t="inlineStr">
        <is>
          <t>信頼区間&lt;0.4の『要レビュー』退避タブ累積バックログ未表示</t>
        </is>
      </c>
      <c r="F13" s="59" t="inlineStr">
        <is>
          <t>23_observability_alerts に review_backlog_per_manager 指標追加(週次)。SC-25 にバックログバッジ表示(部下別×退避件数+最古経過日数)</t>
        </is>
      </c>
      <c r="G13" s="59" t="inlineStr">
        <is>
          <t>SC-25改,23_observability_alerts,review_backlog_metrics(新)</t>
        </is>
      </c>
      <c r="H13" s="59" t="inlineStr">
        <is>
          <t>対応</t>
        </is>
      </c>
    </row>
    <row r="14">
      <c r="A14" s="59" t="n">
        <v>10</v>
      </c>
      <c r="B14" s="59" t="inlineStr">
        <is>
          <t>MIN</t>
        </is>
      </c>
      <c r="C14" s="59" t="inlineStr">
        <is>
          <t>NF3-S9-1</t>
        </is>
      </c>
      <c r="D14" s="59" t="inlineStr">
        <is>
          <t>S9</t>
        </is>
      </c>
      <c r="E14" s="59" t="inlineStr">
        <is>
          <t>taxonomy archived遷移後の既存契約データ参照整合性未明記</t>
        </is>
      </c>
      <c r="F14" s="59" t="inlineStr">
        <is>
          <t>14_state_machines taxonomy_change archive時のorphan_contract_handling追加: (a)参照は読取専用で保持(immutable)、(b)新規作成は不可、(c)q_taxonomy_migration ジョブで代替版へreplace可(オプション)。contract_special_terms_taxonomy.replaced_by_id 追加</t>
        </is>
      </c>
      <c r="G14" s="59" t="inlineStr">
        <is>
          <t>14_state_machines,contract_special_terms_taxonomy改,q_taxonomy_migration(新)</t>
        </is>
      </c>
      <c r="H14" s="59" t="inlineStr">
        <is>
          <t>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2026-04-25T02:56:03Z</dcterms:created>
  <dcterms:modified xmlns:dcterms="http://purl.org/dc/terms/" xmlns:xsi="http://www.w3.org/2001/XMLSchema-instance" xsi:type="dcterms:W3CDTF">2026-04-25T06:47:48Z</dcterms:modified>
  <cp:revision>0</cp:revision>
</cp:coreProperties>
</file>